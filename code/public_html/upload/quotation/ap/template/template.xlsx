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false" xWindow="0" yWindow="0" windowWidth="16384" windowHeight="8192" tabRatio="455" firstSheet="0" activeTab="0"/>
  </bookViews>
  <sheets>
    <sheet name="Quotation" sheetId="1" state="visible" r:id="rId3"/>
  </sheets>
  <definedNames>
    <definedName function="false" hidden="false" localSheetId="0" name="_xlnm.Print_Area" vbProcedure="false">Quotation!$A$1:$M$63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<sst xmlns="http://schemas.openxmlformats.org/spreadsheetml/2006/main" count="52" uniqueCount="47">
  <si>
    <t xml:space="preserve">EWIT CO., LTD. (Head office)</t>
  </si>
  <si>
    <t xml:space="preserve">QUOTATION</t>
  </si>
  <si>
    <t xml:space="preserve">บริษัท อีวิท จำกัด(สำนักงานใหญ่)</t>
  </si>
  <si>
    <t xml:space="preserve">ใบเสนอราคา</t>
  </si>
  <si>
    <t xml:space="preserve">52 Thaniya Building 26th Floor #B, Silom Rd., Suriyawongse, Bangrak, Bangkok 10500 </t>
  </si>
  <si>
    <t xml:space="preserve">Tel.+66 2 632-9858 Fax.+66 2 632-9859  </t>
  </si>
  <si>
    <t xml:space="preserve">52  อาคารธนิยะ ชั้น 26 ห้อง C  ถนนสีลม แขวงสุริยวงศ์ เขตบางรัก กรุงเทพฯ  10500 </t>
  </si>
  <si>
    <t xml:space="preserve">โทร.+66 2 632-9858 แฟกซ์ +66 2 632-9859  เลขประจำตัวผู้เสียภาษี  0105541030420</t>
  </si>
  <si>
    <t xml:space="preserve">www.ewitewit.com  info@ewitewit.com</t>
  </si>
  <si>
    <t xml:space="preserve">ชื่อลูกค้า</t>
  </si>
  <si>
    <t xml:space="preserve">วันที่</t>
  </si>
  <si>
    <t xml:space="preserve">Customer Name</t>
  </si>
  <si>
    <t xml:space="preserve">Date</t>
  </si>
  <si>
    <t xml:space="preserve">ที่อยู่</t>
  </si>
  <si>
    <t xml:space="preserve">เลขที่</t>
  </si>
  <si>
    <t xml:space="preserve">Address</t>
  </si>
  <si>
    <t xml:space="preserve">Quotation No.</t>
  </si>
  <si>
    <t xml:space="preserve">Job No.</t>
  </si>
  <si>
    <t xml:space="preserve">Issue by</t>
  </si>
  <si>
    <t xml:space="preserve">Terdpong Mongsonti</t>
  </si>
  <si>
    <t xml:space="preserve">We are pleased to send you here with our best quotation as the following.</t>
  </si>
  <si>
    <t xml:space="preserve">รายการ</t>
  </si>
  <si>
    <t xml:space="preserve">จำนวน</t>
  </si>
  <si>
    <t xml:space="preserve">ราคา</t>
  </si>
  <si>
    <t xml:space="preserve">รวม</t>
  </si>
  <si>
    <t xml:space="preserve">Item No.</t>
  </si>
  <si>
    <t xml:space="preserve">Description</t>
  </si>
  <si>
    <t xml:space="preserve">Quantity</t>
  </si>
  <si>
    <t xml:space="preserve">Unit Price</t>
  </si>
  <si>
    <t xml:space="preserve">Amount</t>
  </si>
  <si>
    <t xml:space="preserve"> </t>
  </si>
  <si>
    <t xml:space="preserve">Payment  Condition:</t>
  </si>
  <si>
    <t xml:space="preserve"> รวมมูลค่าสินค้า (Subtotal)</t>
  </si>
  <si>
    <t xml:space="preserve">Credit Term : 30 Days</t>
  </si>
  <si>
    <t xml:space="preserve"> ราคาสุทธิ (Net)</t>
  </si>
  <si>
    <t xml:space="preserve">* บริษัทฯสงวนสิทธิที่จะคิดค่าปรับกรณีชำระหนี้ช้ากว่ากำหนดในอัตรา 1.5% ต่อเดือน</t>
  </si>
  <si>
    <t xml:space="preserve"> ภาษีมูลค่าเพิ่ม (Vat)</t>
  </si>
  <si>
    <t xml:space="preserve"> รวมทั้งสิ้น (Grand Total)</t>
  </si>
  <si>
    <t xml:space="preserve">อนุมัติ โดย</t>
  </si>
  <si>
    <t xml:space="preserve">ตรวจสอบโดย</t>
  </si>
  <si>
    <t xml:space="preserve">ในนาม บริษัท อีวิท จำกัด</t>
  </si>
  <si>
    <t xml:space="preserve">For Ewit Co., Ltd.</t>
  </si>
  <si>
    <t xml:space="preserve">ผู้มีอำนาจลงนาม</t>
  </si>
  <si>
    <t xml:space="preserve">แผนกบัญชี</t>
  </si>
  <si>
    <t xml:space="preserve">Authorized Signature</t>
  </si>
  <si>
    <t xml:space="preserve">Accountant</t>
  </si>
  <si>
    <t xml:space="preserve">วันที่/Date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</si>
</sst>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.00_-;\-* #,##0.00_-;_-* \-??_-;_-@_-"/>
    <numFmt numFmtId="166" formatCode="[$-409]d\-mmm\-yy;@"/>
    <numFmt numFmtId="167" formatCode="[$-409]dd\-mmm\-yy;@"/>
    <numFmt numFmtId="168" formatCode="0"/>
    <numFmt numFmtId="169" formatCode="_(\$* #,##0.00_);_(\$* \(#,##0.00\);_(\$* \-??_);_(@_)"/>
    <numFmt numFmtId="170" formatCode="_(* #,##0.00_);_(* \(#,##0.00\);_(* \-??_);_(@_)"/>
    <numFmt numFmtId="171" formatCode="#,##0.00"/>
  </numFmts>
  <fonts count="4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22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8"/>
      <name val="CordiaUPC"/>
      <family val="2"/>
      <charset val="222"/>
    </font>
    <font>
      <sz val="10"/>
      <name val="CordiaUPC"/>
      <family val="2"/>
      <charset val="222"/>
    </font>
    <font>
      <b val="true"/>
      <sz val="16"/>
      <name val="CordiaUPC"/>
      <family val="2"/>
      <charset val="222"/>
    </font>
    <font>
      <b val="true"/>
      <sz val="14"/>
      <name val="CordiaUPC"/>
      <family val="2"/>
      <charset val="222"/>
    </font>
    <font>
      <sz val="9"/>
      <name val="Arial"/>
      <family val="2"/>
      <charset val="1"/>
    </font>
    <font>
      <sz val="9"/>
      <name val="CordiaUPC"/>
      <family val="2"/>
      <charset val="222"/>
    </font>
    <font>
      <b val="true"/>
      <sz val="11"/>
      <name val="CordiaUPC"/>
      <family val="2"/>
      <charset val="222"/>
    </font>
    <font>
      <sz val="11"/>
      <name val="CordiaUPC"/>
      <family val="2"/>
      <charset val="222"/>
    </font>
    <font>
      <sz val="14"/>
      <name val="CordiaUPC"/>
      <family val="2"/>
      <charset val="1"/>
    </font>
    <font>
      <sz val="13"/>
      <name val="CordiaUPC"/>
      <family val="2"/>
      <charset val="222"/>
    </font>
    <font>
      <sz val="14"/>
      <name val="CordiaUPC"/>
      <family val="2"/>
      <charset val="222"/>
    </font>
    <font>
      <sz val="10"/>
      <color rgb="FFFF0000"/>
      <name val="Arial"/>
      <family val="2"/>
      <charset val="1"/>
    </font>
    <font>
      <b val="true"/>
      <sz val="14"/>
      <name val="CordiaUPC"/>
      <family val="2"/>
      <charset val="1"/>
    </font>
    <font>
      <b val="true"/>
      <sz val="13"/>
      <name val="CordiaUPC"/>
      <family val="2"/>
      <charset val="222"/>
    </font>
    <font>
      <b val="true"/>
      <sz val="9"/>
      <name val="CordiaUPC"/>
      <family val="2"/>
      <charset val="222"/>
    </font>
    <font>
      <b val="true"/>
      <sz val="12"/>
      <name val="CordiaUPC"/>
      <family val="2"/>
      <charset val="222"/>
    </font>
    <font>
      <sz val="11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b val="true"/>
      <u val="single"/>
      <sz val="14"/>
      <name val="CordiaUPC"/>
      <family val="2"/>
      <charset val="1"/>
    </font>
    <font>
      <b val="true"/>
      <u val="single"/>
      <sz val="14"/>
      <color rgb="FFFF0000"/>
      <name val="CordiaUPC"/>
      <family val="2"/>
      <charset val="1"/>
    </font>
    <font>
      <sz val="14"/>
      <name val="Cordia New"/>
      <family val="2"/>
      <charset val="1"/>
    </font>
    <font>
      <b val="true"/>
      <sz val="14"/>
      <color theme="1"/>
      <name val="CordiaUPC"/>
      <family val="2"/>
      <charset val="222"/>
    </font>
    <font>
      <b val="true"/>
      <sz val="14"/>
      <color theme="1"/>
      <name val="Cordia New"/>
      <family val="2"/>
      <charset val="1"/>
    </font>
    <font>
      <b val="true"/>
      <sz val="14"/>
      <name val="Cordia New"/>
      <family val="2"/>
      <charset val="1"/>
    </font>
    <font>
      <sz val="14"/>
      <color rgb="FF000000"/>
      <name val="CordiaUPC"/>
      <family val="2"/>
      <charset val="1"/>
    </font>
    <font>
      <sz val="14"/>
      <color rgb="FFFF0000"/>
      <name val="Cordia New"/>
      <family val="2"/>
      <charset val="1"/>
    </font>
    <font>
      <sz val="14"/>
      <color rgb="FFFF0000"/>
      <name val="CordiaUPC"/>
      <family val="2"/>
      <charset val="1"/>
    </font>
    <font>
      <sz val="13"/>
      <name val="Cordia New"/>
      <family val="2"/>
      <charset val="1"/>
    </font>
    <font>
      <b val="true"/>
      <sz val="10"/>
      <name val="CordiaUPC"/>
      <family val="2"/>
      <charset val="222"/>
    </font>
    <font>
      <i val="true"/>
      <sz val="14"/>
      <color rgb="FFFF0000"/>
      <name val="CordiaUPC"/>
      <family val="2"/>
      <charset val="222"/>
    </font>
    <font>
      <sz val="12"/>
      <name val="CordiaUPC"/>
      <family val="2"/>
      <charset val="222"/>
    </font>
    <font>
      <sz val="8"/>
      <color rgb="FFFF0000"/>
      <name val="Arial"/>
      <family val="2"/>
      <charset val="1"/>
    </font>
    <font>
      <b val="true"/>
      <u val="single"/>
      <sz val="14"/>
      <name val="CordiaUPC"/>
      <family val="2"/>
      <charset val="222"/>
    </font>
    <font>
      <b val="true"/>
      <u val="single"/>
      <sz val="9"/>
      <name val="CordiaUPC"/>
      <family val="2"/>
      <charset val="222"/>
    </font>
    <font>
      <sz val="16"/>
      <name val="CordiaUPC"/>
      <family val="2"/>
      <charset val="222"/>
    </font>
    <font>
      <sz val="10"/>
      <name val="-JS Sangravee"/>
      <family val="0"/>
      <charset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 tint="-0.15"/>
        <bgColor rgb="FFC0C0C0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hair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hair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hair"/>
      <right style="hair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thin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thin"/>
      <top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thin"/>
      <right style="hair"/>
      <top/>
      <bottom style="thin"/>
      <diagonal/>
    </border>
    <border diagonalUp="false" diagonalDown="false">
      <left style="hair"/>
      <right style="hair"/>
      <top style="hair"/>
      <bottom style="thin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18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7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21" fillId="2" borderId="0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left" vertical="center" textRotation="0" wrapText="false" indent="0" shrinkToFit="false" readingOrder="2"/>
      <protection locked="true" hidden="false"/>
    </xf>
    <xf numFmtId="164" fontId="23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3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3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21" fillId="3" borderId="1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2" borderId="14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7" fillId="2" borderId="5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28" fillId="2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9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1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1" fillId="3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8" fillId="2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28" fillId="2" borderId="1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2" borderId="16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2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6" fillId="2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6" fillId="2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2" borderId="16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71" fontId="16" fillId="2" borderId="18" xfId="24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34" fillId="2" borderId="18" xfId="24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34" fillId="2" borderId="1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5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1" fillId="2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2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1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5" fillId="2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35" fillId="2" borderId="13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8" fillId="2" borderId="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2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2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7" fillId="2" borderId="2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8" fillId="2" borderId="13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2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8" fillId="2" borderId="2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3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2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10" fillId="2" borderId="1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0" fillId="2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1"/>
    <cellStyle name="Comma 3" xfId="22"/>
    <cellStyle name="Comma 4" xfId="23"/>
    <cellStyle name="Explanatory Text 2" xfId="24"/>
    <cellStyle name="Normal 2" xfId="25"/>
    <cellStyle name="Normal 3" xfId="26"/>
    <cellStyle name="Normal 7" xfId="27"/>
    <cellStyle name="Normal 7 2" xfId="28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162000</xdr:colOff>
      <xdr:row>1</xdr:row>
      <xdr:rowOff>0</xdr:rowOff>
    </xdr:from>
    <xdr:to>
      <xdr:col>3</xdr:col>
      <xdr:colOff>236880</xdr:colOff>
      <xdr:row>1</xdr:row>
      <xdr:rowOff>198720</xdr:rowOff>
    </xdr:to>
    <xdr:sp>
      <xdr:nvSpPr>
        <xdr:cNvPr id="1" name="Text Box 1"/>
        <xdr:cNvSpPr/>
      </xdr:nvSpPr>
      <xdr:spPr>
        <a:xfrm>
          <a:off x="96480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1</xdr:row>
      <xdr:rowOff>0</xdr:rowOff>
    </xdr:from>
    <xdr:to>
      <xdr:col>3</xdr:col>
      <xdr:colOff>265320</xdr:colOff>
      <xdr:row>1</xdr:row>
      <xdr:rowOff>198720</xdr:rowOff>
    </xdr:to>
    <xdr:sp>
      <xdr:nvSpPr>
        <xdr:cNvPr id="2" name="Text Box 2"/>
        <xdr:cNvSpPr/>
      </xdr:nvSpPr>
      <xdr:spPr>
        <a:xfrm>
          <a:off x="99324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1</xdr:row>
      <xdr:rowOff>0</xdr:rowOff>
    </xdr:from>
    <xdr:to>
      <xdr:col>3</xdr:col>
      <xdr:colOff>236880</xdr:colOff>
      <xdr:row>1</xdr:row>
      <xdr:rowOff>198720</xdr:rowOff>
    </xdr:to>
    <xdr:sp>
      <xdr:nvSpPr>
        <xdr:cNvPr id="3" name="Text Box 3"/>
        <xdr:cNvSpPr/>
      </xdr:nvSpPr>
      <xdr:spPr>
        <a:xfrm>
          <a:off x="96480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1</xdr:row>
      <xdr:rowOff>0</xdr:rowOff>
    </xdr:from>
    <xdr:to>
      <xdr:col>3</xdr:col>
      <xdr:colOff>265320</xdr:colOff>
      <xdr:row>1</xdr:row>
      <xdr:rowOff>198720</xdr:rowOff>
    </xdr:to>
    <xdr:sp>
      <xdr:nvSpPr>
        <xdr:cNvPr id="4" name="Text Box 4"/>
        <xdr:cNvSpPr/>
      </xdr:nvSpPr>
      <xdr:spPr>
        <a:xfrm>
          <a:off x="99324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1</xdr:row>
      <xdr:rowOff>0</xdr:rowOff>
    </xdr:from>
    <xdr:to>
      <xdr:col>3</xdr:col>
      <xdr:colOff>236880</xdr:colOff>
      <xdr:row>1</xdr:row>
      <xdr:rowOff>198720</xdr:rowOff>
    </xdr:to>
    <xdr:sp>
      <xdr:nvSpPr>
        <xdr:cNvPr id="5" name="Text Box 5"/>
        <xdr:cNvSpPr/>
      </xdr:nvSpPr>
      <xdr:spPr>
        <a:xfrm>
          <a:off x="96480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1</xdr:row>
      <xdr:rowOff>0</xdr:rowOff>
    </xdr:from>
    <xdr:to>
      <xdr:col>3</xdr:col>
      <xdr:colOff>265320</xdr:colOff>
      <xdr:row>1</xdr:row>
      <xdr:rowOff>198720</xdr:rowOff>
    </xdr:to>
    <xdr:sp>
      <xdr:nvSpPr>
        <xdr:cNvPr id="6" name="Text Box 6"/>
        <xdr:cNvSpPr/>
      </xdr:nvSpPr>
      <xdr:spPr>
        <a:xfrm>
          <a:off x="99324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1</xdr:row>
      <xdr:rowOff>0</xdr:rowOff>
    </xdr:from>
    <xdr:to>
      <xdr:col>3</xdr:col>
      <xdr:colOff>236880</xdr:colOff>
      <xdr:row>1</xdr:row>
      <xdr:rowOff>198720</xdr:rowOff>
    </xdr:to>
    <xdr:sp>
      <xdr:nvSpPr>
        <xdr:cNvPr id="7" name="Text Box 7"/>
        <xdr:cNvSpPr/>
      </xdr:nvSpPr>
      <xdr:spPr>
        <a:xfrm>
          <a:off x="96480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1</xdr:row>
      <xdr:rowOff>0</xdr:rowOff>
    </xdr:from>
    <xdr:to>
      <xdr:col>3</xdr:col>
      <xdr:colOff>236880</xdr:colOff>
      <xdr:row>1</xdr:row>
      <xdr:rowOff>198720</xdr:rowOff>
    </xdr:to>
    <xdr:sp>
      <xdr:nvSpPr>
        <xdr:cNvPr id="8" name="Text Box 8"/>
        <xdr:cNvSpPr/>
      </xdr:nvSpPr>
      <xdr:spPr>
        <a:xfrm>
          <a:off x="96480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1</xdr:row>
      <xdr:rowOff>0</xdr:rowOff>
    </xdr:from>
    <xdr:to>
      <xdr:col>3</xdr:col>
      <xdr:colOff>265320</xdr:colOff>
      <xdr:row>1</xdr:row>
      <xdr:rowOff>198720</xdr:rowOff>
    </xdr:to>
    <xdr:sp>
      <xdr:nvSpPr>
        <xdr:cNvPr id="9" name="Text Box 9"/>
        <xdr:cNvSpPr/>
      </xdr:nvSpPr>
      <xdr:spPr>
        <a:xfrm>
          <a:off x="99324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1</xdr:row>
      <xdr:rowOff>0</xdr:rowOff>
    </xdr:from>
    <xdr:to>
      <xdr:col>3</xdr:col>
      <xdr:colOff>236880</xdr:colOff>
      <xdr:row>1</xdr:row>
      <xdr:rowOff>198720</xdr:rowOff>
    </xdr:to>
    <xdr:sp>
      <xdr:nvSpPr>
        <xdr:cNvPr id="10" name="Text Box 10"/>
        <xdr:cNvSpPr/>
      </xdr:nvSpPr>
      <xdr:spPr>
        <a:xfrm>
          <a:off x="96480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1</xdr:row>
      <xdr:rowOff>0</xdr:rowOff>
    </xdr:from>
    <xdr:to>
      <xdr:col>3</xdr:col>
      <xdr:colOff>265320</xdr:colOff>
      <xdr:row>1</xdr:row>
      <xdr:rowOff>198720</xdr:rowOff>
    </xdr:to>
    <xdr:sp>
      <xdr:nvSpPr>
        <xdr:cNvPr id="11" name="Text Box 11"/>
        <xdr:cNvSpPr/>
      </xdr:nvSpPr>
      <xdr:spPr>
        <a:xfrm>
          <a:off x="99324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1</xdr:row>
      <xdr:rowOff>0</xdr:rowOff>
    </xdr:from>
    <xdr:to>
      <xdr:col>3</xdr:col>
      <xdr:colOff>236880</xdr:colOff>
      <xdr:row>1</xdr:row>
      <xdr:rowOff>198720</xdr:rowOff>
    </xdr:to>
    <xdr:sp>
      <xdr:nvSpPr>
        <xdr:cNvPr id="12" name="Text Box 12"/>
        <xdr:cNvSpPr/>
      </xdr:nvSpPr>
      <xdr:spPr>
        <a:xfrm>
          <a:off x="96480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1</xdr:row>
      <xdr:rowOff>0</xdr:rowOff>
    </xdr:from>
    <xdr:to>
      <xdr:col>3</xdr:col>
      <xdr:colOff>236880</xdr:colOff>
      <xdr:row>1</xdr:row>
      <xdr:rowOff>198720</xdr:rowOff>
    </xdr:to>
    <xdr:sp>
      <xdr:nvSpPr>
        <xdr:cNvPr id="13" name="Text Box 13"/>
        <xdr:cNvSpPr/>
      </xdr:nvSpPr>
      <xdr:spPr>
        <a:xfrm>
          <a:off x="96480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1</xdr:row>
      <xdr:rowOff>0</xdr:rowOff>
    </xdr:from>
    <xdr:to>
      <xdr:col>3</xdr:col>
      <xdr:colOff>265320</xdr:colOff>
      <xdr:row>1</xdr:row>
      <xdr:rowOff>198720</xdr:rowOff>
    </xdr:to>
    <xdr:sp>
      <xdr:nvSpPr>
        <xdr:cNvPr id="14" name="Text Box 14"/>
        <xdr:cNvSpPr/>
      </xdr:nvSpPr>
      <xdr:spPr>
        <a:xfrm>
          <a:off x="99324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1</xdr:row>
      <xdr:rowOff>0</xdr:rowOff>
    </xdr:from>
    <xdr:to>
      <xdr:col>3</xdr:col>
      <xdr:colOff>236880</xdr:colOff>
      <xdr:row>1</xdr:row>
      <xdr:rowOff>198720</xdr:rowOff>
    </xdr:to>
    <xdr:sp>
      <xdr:nvSpPr>
        <xdr:cNvPr id="15" name="Text Box 15"/>
        <xdr:cNvSpPr/>
      </xdr:nvSpPr>
      <xdr:spPr>
        <a:xfrm>
          <a:off x="96480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1</xdr:row>
      <xdr:rowOff>0</xdr:rowOff>
    </xdr:from>
    <xdr:to>
      <xdr:col>3</xdr:col>
      <xdr:colOff>265320</xdr:colOff>
      <xdr:row>1</xdr:row>
      <xdr:rowOff>198720</xdr:rowOff>
    </xdr:to>
    <xdr:sp>
      <xdr:nvSpPr>
        <xdr:cNvPr id="16" name="Text Box 16"/>
        <xdr:cNvSpPr/>
      </xdr:nvSpPr>
      <xdr:spPr>
        <a:xfrm>
          <a:off x="99324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1</xdr:row>
      <xdr:rowOff>0</xdr:rowOff>
    </xdr:from>
    <xdr:to>
      <xdr:col>3</xdr:col>
      <xdr:colOff>236880</xdr:colOff>
      <xdr:row>1</xdr:row>
      <xdr:rowOff>198720</xdr:rowOff>
    </xdr:to>
    <xdr:sp>
      <xdr:nvSpPr>
        <xdr:cNvPr id="17" name="Text Box 17"/>
        <xdr:cNvSpPr/>
      </xdr:nvSpPr>
      <xdr:spPr>
        <a:xfrm>
          <a:off x="96480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1</xdr:row>
      <xdr:rowOff>0</xdr:rowOff>
    </xdr:from>
    <xdr:to>
      <xdr:col>3</xdr:col>
      <xdr:colOff>265320</xdr:colOff>
      <xdr:row>1</xdr:row>
      <xdr:rowOff>198720</xdr:rowOff>
    </xdr:to>
    <xdr:sp>
      <xdr:nvSpPr>
        <xdr:cNvPr id="18" name="Text Box 18"/>
        <xdr:cNvSpPr/>
      </xdr:nvSpPr>
      <xdr:spPr>
        <a:xfrm>
          <a:off x="99324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1</xdr:row>
      <xdr:rowOff>0</xdr:rowOff>
    </xdr:from>
    <xdr:to>
      <xdr:col>3</xdr:col>
      <xdr:colOff>236880</xdr:colOff>
      <xdr:row>1</xdr:row>
      <xdr:rowOff>198720</xdr:rowOff>
    </xdr:to>
    <xdr:sp>
      <xdr:nvSpPr>
        <xdr:cNvPr id="19" name="Text Box 19"/>
        <xdr:cNvSpPr/>
      </xdr:nvSpPr>
      <xdr:spPr>
        <a:xfrm>
          <a:off x="96480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1</xdr:row>
      <xdr:rowOff>0</xdr:rowOff>
    </xdr:from>
    <xdr:to>
      <xdr:col>3</xdr:col>
      <xdr:colOff>236880</xdr:colOff>
      <xdr:row>1</xdr:row>
      <xdr:rowOff>198720</xdr:rowOff>
    </xdr:to>
    <xdr:sp>
      <xdr:nvSpPr>
        <xdr:cNvPr id="20" name="Text Box 20"/>
        <xdr:cNvSpPr/>
      </xdr:nvSpPr>
      <xdr:spPr>
        <a:xfrm>
          <a:off x="96480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1</xdr:row>
      <xdr:rowOff>0</xdr:rowOff>
    </xdr:from>
    <xdr:to>
      <xdr:col>3</xdr:col>
      <xdr:colOff>265320</xdr:colOff>
      <xdr:row>1</xdr:row>
      <xdr:rowOff>198720</xdr:rowOff>
    </xdr:to>
    <xdr:sp>
      <xdr:nvSpPr>
        <xdr:cNvPr id="21" name="Text Box 21"/>
        <xdr:cNvSpPr/>
      </xdr:nvSpPr>
      <xdr:spPr>
        <a:xfrm>
          <a:off x="99324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1</xdr:row>
      <xdr:rowOff>0</xdr:rowOff>
    </xdr:from>
    <xdr:to>
      <xdr:col>3</xdr:col>
      <xdr:colOff>236880</xdr:colOff>
      <xdr:row>1</xdr:row>
      <xdr:rowOff>198720</xdr:rowOff>
    </xdr:to>
    <xdr:sp>
      <xdr:nvSpPr>
        <xdr:cNvPr id="22" name="Text Box 22"/>
        <xdr:cNvSpPr/>
      </xdr:nvSpPr>
      <xdr:spPr>
        <a:xfrm>
          <a:off x="96480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1</xdr:row>
      <xdr:rowOff>0</xdr:rowOff>
    </xdr:from>
    <xdr:to>
      <xdr:col>3</xdr:col>
      <xdr:colOff>265320</xdr:colOff>
      <xdr:row>1</xdr:row>
      <xdr:rowOff>198720</xdr:rowOff>
    </xdr:to>
    <xdr:sp>
      <xdr:nvSpPr>
        <xdr:cNvPr id="23" name="Text Box 23"/>
        <xdr:cNvSpPr/>
      </xdr:nvSpPr>
      <xdr:spPr>
        <a:xfrm>
          <a:off x="99324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1</xdr:row>
      <xdr:rowOff>0</xdr:rowOff>
    </xdr:from>
    <xdr:to>
      <xdr:col>3</xdr:col>
      <xdr:colOff>236880</xdr:colOff>
      <xdr:row>1</xdr:row>
      <xdr:rowOff>198720</xdr:rowOff>
    </xdr:to>
    <xdr:sp>
      <xdr:nvSpPr>
        <xdr:cNvPr id="24" name="Text Box 24"/>
        <xdr:cNvSpPr/>
      </xdr:nvSpPr>
      <xdr:spPr>
        <a:xfrm>
          <a:off x="964800" y="7632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2</xdr:row>
      <xdr:rowOff>0</xdr:rowOff>
    </xdr:from>
    <xdr:to>
      <xdr:col>3</xdr:col>
      <xdr:colOff>236880</xdr:colOff>
      <xdr:row>2</xdr:row>
      <xdr:rowOff>198720</xdr:rowOff>
    </xdr:to>
    <xdr:sp>
      <xdr:nvSpPr>
        <xdr:cNvPr id="25" name="Text Box 107"/>
        <xdr:cNvSpPr/>
      </xdr:nvSpPr>
      <xdr:spPr>
        <a:xfrm>
          <a:off x="964800" y="2858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2</xdr:row>
      <xdr:rowOff>0</xdr:rowOff>
    </xdr:from>
    <xdr:to>
      <xdr:col>3</xdr:col>
      <xdr:colOff>265320</xdr:colOff>
      <xdr:row>2</xdr:row>
      <xdr:rowOff>198720</xdr:rowOff>
    </xdr:to>
    <xdr:sp>
      <xdr:nvSpPr>
        <xdr:cNvPr id="26" name="Text Box 108"/>
        <xdr:cNvSpPr/>
      </xdr:nvSpPr>
      <xdr:spPr>
        <a:xfrm>
          <a:off x="993240" y="2858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2</xdr:row>
      <xdr:rowOff>0</xdr:rowOff>
    </xdr:from>
    <xdr:to>
      <xdr:col>3</xdr:col>
      <xdr:colOff>236880</xdr:colOff>
      <xdr:row>2</xdr:row>
      <xdr:rowOff>198720</xdr:rowOff>
    </xdr:to>
    <xdr:sp>
      <xdr:nvSpPr>
        <xdr:cNvPr id="27" name="Text Box 109"/>
        <xdr:cNvSpPr/>
      </xdr:nvSpPr>
      <xdr:spPr>
        <a:xfrm>
          <a:off x="964800" y="2858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2</xdr:row>
      <xdr:rowOff>0</xdr:rowOff>
    </xdr:from>
    <xdr:to>
      <xdr:col>3</xdr:col>
      <xdr:colOff>265320</xdr:colOff>
      <xdr:row>2</xdr:row>
      <xdr:rowOff>198720</xdr:rowOff>
    </xdr:to>
    <xdr:sp>
      <xdr:nvSpPr>
        <xdr:cNvPr id="28" name="Text Box 110"/>
        <xdr:cNvSpPr/>
      </xdr:nvSpPr>
      <xdr:spPr>
        <a:xfrm>
          <a:off x="993240" y="2858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2</xdr:row>
      <xdr:rowOff>0</xdr:rowOff>
    </xdr:from>
    <xdr:to>
      <xdr:col>3</xdr:col>
      <xdr:colOff>236880</xdr:colOff>
      <xdr:row>2</xdr:row>
      <xdr:rowOff>198720</xdr:rowOff>
    </xdr:to>
    <xdr:sp>
      <xdr:nvSpPr>
        <xdr:cNvPr id="29" name="Text Box 111"/>
        <xdr:cNvSpPr/>
      </xdr:nvSpPr>
      <xdr:spPr>
        <a:xfrm>
          <a:off x="964800" y="2858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2</xdr:row>
      <xdr:rowOff>0</xdr:rowOff>
    </xdr:from>
    <xdr:to>
      <xdr:col>3</xdr:col>
      <xdr:colOff>265320</xdr:colOff>
      <xdr:row>2</xdr:row>
      <xdr:rowOff>198720</xdr:rowOff>
    </xdr:to>
    <xdr:sp>
      <xdr:nvSpPr>
        <xdr:cNvPr id="30" name="Text Box 112"/>
        <xdr:cNvSpPr/>
      </xdr:nvSpPr>
      <xdr:spPr>
        <a:xfrm>
          <a:off x="993240" y="2858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2</xdr:row>
      <xdr:rowOff>0</xdr:rowOff>
    </xdr:from>
    <xdr:to>
      <xdr:col>3</xdr:col>
      <xdr:colOff>236880</xdr:colOff>
      <xdr:row>2</xdr:row>
      <xdr:rowOff>198720</xdr:rowOff>
    </xdr:to>
    <xdr:sp>
      <xdr:nvSpPr>
        <xdr:cNvPr id="31" name="Text Box 113"/>
        <xdr:cNvSpPr/>
      </xdr:nvSpPr>
      <xdr:spPr>
        <a:xfrm>
          <a:off x="964800" y="2858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2</xdr:row>
      <xdr:rowOff>0</xdr:rowOff>
    </xdr:from>
    <xdr:to>
      <xdr:col>3</xdr:col>
      <xdr:colOff>236880</xdr:colOff>
      <xdr:row>2</xdr:row>
      <xdr:rowOff>198720</xdr:rowOff>
    </xdr:to>
    <xdr:sp>
      <xdr:nvSpPr>
        <xdr:cNvPr id="32" name="Text Box 114"/>
        <xdr:cNvSpPr/>
      </xdr:nvSpPr>
      <xdr:spPr>
        <a:xfrm>
          <a:off x="964800" y="2858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2</xdr:row>
      <xdr:rowOff>0</xdr:rowOff>
    </xdr:from>
    <xdr:to>
      <xdr:col>3</xdr:col>
      <xdr:colOff>265320</xdr:colOff>
      <xdr:row>2</xdr:row>
      <xdr:rowOff>198720</xdr:rowOff>
    </xdr:to>
    <xdr:sp>
      <xdr:nvSpPr>
        <xdr:cNvPr id="33" name="Text Box 115"/>
        <xdr:cNvSpPr/>
      </xdr:nvSpPr>
      <xdr:spPr>
        <a:xfrm>
          <a:off x="993240" y="2858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2</xdr:row>
      <xdr:rowOff>0</xdr:rowOff>
    </xdr:from>
    <xdr:to>
      <xdr:col>3</xdr:col>
      <xdr:colOff>236880</xdr:colOff>
      <xdr:row>2</xdr:row>
      <xdr:rowOff>198720</xdr:rowOff>
    </xdr:to>
    <xdr:sp>
      <xdr:nvSpPr>
        <xdr:cNvPr id="34" name="Text Box 116"/>
        <xdr:cNvSpPr/>
      </xdr:nvSpPr>
      <xdr:spPr>
        <a:xfrm>
          <a:off x="964800" y="2858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2</xdr:row>
      <xdr:rowOff>0</xdr:rowOff>
    </xdr:from>
    <xdr:to>
      <xdr:col>3</xdr:col>
      <xdr:colOff>265320</xdr:colOff>
      <xdr:row>2</xdr:row>
      <xdr:rowOff>198720</xdr:rowOff>
    </xdr:to>
    <xdr:sp>
      <xdr:nvSpPr>
        <xdr:cNvPr id="35" name="Text Box 117"/>
        <xdr:cNvSpPr/>
      </xdr:nvSpPr>
      <xdr:spPr>
        <a:xfrm>
          <a:off x="993240" y="2858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684360</xdr:colOff>
      <xdr:row>7</xdr:row>
      <xdr:rowOff>18000</xdr:rowOff>
    </xdr:to>
    <xdr:pic>
      <xdr:nvPicPr>
        <xdr:cNvPr id="36" name="Picture 209" descr="ewitlogo-nothai"/>
        <xdr:cNvPicPr/>
      </xdr:nvPicPr>
      <xdr:blipFill>
        <a:blip r:embed="rId1"/>
        <a:stretch/>
      </xdr:blipFill>
      <xdr:spPr>
        <a:xfrm>
          <a:off x="0" y="76320"/>
          <a:ext cx="684360" cy="100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37" name="Text Box 21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38" name="Text Box 213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39" name="Text Box 214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0" name="Text Box 215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1" name="Text Box 21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2" name="Text Box 217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3" name="Text Box 21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4" name="Text Box 219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5" name="Text Box 220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6" name="Text Box 221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7" name="Text Box 222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8" name="Text Box 223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9" name="Text Box 224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0" name="Text Box 225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1" name="Text Box 22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2" name="Text Box 227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3" name="Text Box 22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4" name="Text Box 229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5" name="Text Box 23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6" name="Text Box 231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7" name="Text Box 232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8" name="Text Box 233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9" name="Text Box 234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0" name="Text Box 235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1" name="Text Box 23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2" name="Text Box 237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3" name="Text Box 23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4" name="Text Box 239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5" name="Text Box 24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6" name="Text Box 241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7" name="Text Box 24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8" name="Text Box 243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9" name="Text Box 244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70" name="Text Box 245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71" name="Text Box 246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72" name="Text Box 247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73" name="Text Box 248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74" name="Text Box 249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75" name="Text Box 25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76" name="Text Box 251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77" name="Text Box 25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78" name="Text Box 253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79" name="Text Box 254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80" name="Text Box 255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81" name="Text Box 25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82" name="Text Box 257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83" name="Text Box 258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84" name="Text Box 259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85" name="Text Box 260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86" name="Text Box 261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87" name="Text Box 26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88" name="Text Box 263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89" name="Text Box 264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90" name="Text Box 265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91" name="Text Box 26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92" name="Text Box 267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93" name="Text Box 26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94" name="Text Box 269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95" name="Text Box 27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96" name="Text Box 271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97" name="Text Box 272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98" name="Text Box 273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99" name="Text Box 274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100" name="Text Box 275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101" name="Text Box 27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102" name="Text Box 277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103" name="Text Box 27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104" name="Text Box 28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105" name="Text Box 28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106" name="Text Box 283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107" name="Text Box 285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108" name="Text Box 287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109" name="Text Box 28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110" name="Text Box 289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111" name="Text Box 29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112" name="Text Box 291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113" name="Text Box 29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114" name="Text Box 293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15" name="Text Box 316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16" name="Text Box 317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17" name="Text Box 31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18" name="Text Box 319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19" name="Text Box 32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20" name="Text Box 321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21" name="Text Box 322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22" name="Text Box 32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23" name="Text Box 324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24" name="Text Box 32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25" name="Text Box 326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26" name="Text Box 32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27" name="Text Box 32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28" name="Text Box 329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29" name="Text Box 33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30" name="Text Box 331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31" name="Text Box 332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32" name="Text Box 333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33" name="Text Box 334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34" name="Text Box 33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35" name="Text Box 336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36" name="Text Box 33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37" name="Text Box 338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38" name="Text Box 339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39" name="Text Box 34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40" name="Text Box 341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41" name="Text Box 342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42" name="Text Box 343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43" name="Text Box 344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44" name="Text Box 345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45" name="Text Box 346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46" name="Text Box 347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47" name="Text Box 34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48" name="Text Box 349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49" name="Text Box 35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50" name="Text Box 351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51" name="Text Box 352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52" name="Text Box 35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53" name="Text Box 354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54" name="Text Box 35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55" name="Text Box 356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56" name="Text Box 35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57" name="Text Box 35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58" name="Text Box 359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59" name="Text Box 36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60" name="Text Box 361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61" name="Text Box 362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62" name="Text Box 36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63" name="Text Box 364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64" name="Text Box 36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65" name="Text Box 366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66" name="Text Box 36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67" name="Text Box 36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68" name="Text Box 369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69" name="Text Box 37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70" name="Text Box 371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71" name="Text Box 372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72" name="Text Box 37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73" name="Text Box 374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74" name="Text Box 37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75" name="Text Box 376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76" name="Text Box 37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77" name="Text Box 37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78" name="Text Box 379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79" name="Text Box 38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80" name="Text Box 381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81" name="Text Box 382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82" name="Text Box 38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83" name="Text Box 384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84" name="Text Box 38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85" name="Text Box 388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86" name="Text Box 389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87" name="Text Box 390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88" name="Text Box 391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89" name="Text Box 392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90" name="Text Box 39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91" name="Text Box 394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92" name="Text Box 395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93" name="Text Box 396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94" name="Text Box 397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95" name="Text Box 39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96" name="Text Box 399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97" name="Text Box 400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198" name="Text Box 401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199" name="Text Box 402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00" name="Text Box 40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01" name="Text Box 404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02" name="Text Box 40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03" name="Text Box 406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04" name="Text Box 407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05" name="Text Box 40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06" name="Text Box 409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07" name="Text Box 41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08" name="Text Box 411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09" name="Text Box 412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10" name="Text Box 41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11" name="Text Box 414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12" name="Text Box 41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13" name="Text Box 416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14" name="Text Box 41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15" name="Text Box 418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16" name="Text Box 419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17" name="Text Box 42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18" name="Text Box 421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19" name="Text Box 422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20" name="Text Box 423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21" name="Text Box 424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22" name="Text Box 42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23" name="Text Box 426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24" name="Text Box 42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25" name="Text Box 428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26" name="Text Box 429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27" name="Text Box 430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28" name="Text Box 431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29" name="Text Box 432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30" name="Text Box 433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31" name="Text Box 434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32" name="Text Box 435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33" name="Text Box 436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34" name="Text Box 43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35" name="Text Box 438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36" name="Text Box 439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37" name="Text Box 440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38" name="Text Box 441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39" name="Text Box 442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40" name="Text Box 44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41" name="Text Box 444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42" name="Text Box 44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43" name="Text Box 446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44" name="Text Box 447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45" name="Text Box 44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46" name="Text Box 449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47" name="Text Box 45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48" name="Text Box 451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49" name="Text Box 452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50" name="Text Box 45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51" name="Text Box 454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52" name="Text Box 45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53" name="Text Box 456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54" name="Text Box 45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55" name="Text Box 45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56" name="Text Box 459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57" name="Text Box 46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58" name="Text Box 461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59" name="Text Box 462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60" name="Text Box 46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61" name="Text Box 464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62" name="Text Box 46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63" name="Text Box 466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64" name="Text Box 46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65" name="Text Box 46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66" name="Text Box 469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162000</xdr:colOff>
      <xdr:row>62</xdr:row>
      <xdr:rowOff>0</xdr:rowOff>
    </xdr:from>
    <xdr:to>
      <xdr:col>4</xdr:col>
      <xdr:colOff>236880</xdr:colOff>
      <xdr:row>63</xdr:row>
      <xdr:rowOff>36720</xdr:rowOff>
    </xdr:to>
    <xdr:sp>
      <xdr:nvSpPr>
        <xdr:cNvPr id="267" name="Text Box 470"/>
        <xdr:cNvSpPr/>
      </xdr:nvSpPr>
      <xdr:spPr>
        <a:xfrm>
          <a:off x="17190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162000</xdr:colOff>
      <xdr:row>62</xdr:row>
      <xdr:rowOff>0</xdr:rowOff>
    </xdr:from>
    <xdr:to>
      <xdr:col>4</xdr:col>
      <xdr:colOff>236880</xdr:colOff>
      <xdr:row>63</xdr:row>
      <xdr:rowOff>36720</xdr:rowOff>
    </xdr:to>
    <xdr:sp>
      <xdr:nvSpPr>
        <xdr:cNvPr id="268" name="Text Box 471"/>
        <xdr:cNvSpPr/>
      </xdr:nvSpPr>
      <xdr:spPr>
        <a:xfrm>
          <a:off x="17190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190440</xdr:colOff>
      <xdr:row>62</xdr:row>
      <xdr:rowOff>0</xdr:rowOff>
    </xdr:from>
    <xdr:to>
      <xdr:col>9</xdr:col>
      <xdr:colOff>265320</xdr:colOff>
      <xdr:row>63</xdr:row>
      <xdr:rowOff>36720</xdr:rowOff>
    </xdr:to>
    <xdr:sp>
      <xdr:nvSpPr>
        <xdr:cNvPr id="269" name="Text Box 472"/>
        <xdr:cNvSpPr/>
      </xdr:nvSpPr>
      <xdr:spPr>
        <a:xfrm>
          <a:off x="6661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70" name="Text Box 476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71" name="Text Box 477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72" name="Text Box 47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73" name="Text Box 479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74" name="Text Box 48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75" name="Text Box 481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76" name="Text Box 482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77" name="Text Box 48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78" name="Text Box 484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79" name="Text Box 48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80" name="Text Box 486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81" name="Text Box 48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82" name="Text Box 48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83" name="Text Box 489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84" name="Text Box 49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85" name="Text Box 491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86" name="Text Box 492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87" name="Text Box 493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88" name="Text Box 494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89" name="Text Box 49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90" name="Text Box 496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91" name="Text Box 49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92" name="Text Box 498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93" name="Text Box 499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94" name="Text Box 50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95" name="Text Box 501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96" name="Text Box 502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97" name="Text Box 503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298" name="Text Box 504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299" name="Text Box 505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00" name="Text Box 506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01" name="Text Box 507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02" name="Text Box 50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03" name="Text Box 509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04" name="Text Box 51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05" name="Text Box 511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06" name="Text Box 512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07" name="Text Box 51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08" name="Text Box 514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09" name="Text Box 51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10" name="Text Box 516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11" name="Text Box 51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12" name="Text Box 51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13" name="Text Box 519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14" name="Text Box 52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15" name="Text Box 521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16" name="Text Box 522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17" name="Text Box 52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18" name="Text Box 524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19" name="Text Box 52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20" name="Text Box 526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21" name="Text Box 52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22" name="Text Box 52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23" name="Text Box 529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24" name="Text Box 53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25" name="Text Box 531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26" name="Text Box 532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27" name="Text Box 53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28" name="Text Box 534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29" name="Text Box 53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30" name="Text Box 536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31" name="Text Box 53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32" name="Text Box 53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33" name="Text Box 539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34" name="Text Box 54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35" name="Text Box 541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36" name="Text Box 542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37" name="Text Box 54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38" name="Text Box 544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39" name="Text Box 54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40" name="Text Box 548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41" name="Text Box 549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42" name="Text Box 550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43" name="Text Box 551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44" name="Text Box 552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45" name="Text Box 55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46" name="Text Box 554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47" name="Text Box 555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48" name="Text Box 556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49" name="Text Box 557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50" name="Text Box 55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51" name="Text Box 559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52" name="Text Box 560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53" name="Text Box 561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54" name="Text Box 562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55" name="Text Box 56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56" name="Text Box 564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57" name="Text Box 56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58" name="Text Box 566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59" name="Text Box 567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60" name="Text Box 56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61" name="Text Box 569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62" name="Text Box 57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63" name="Text Box 571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64" name="Text Box 572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65" name="Text Box 57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66" name="Text Box 574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67" name="Text Box 57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68" name="Text Box 576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69" name="Text Box 57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70" name="Text Box 578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71" name="Text Box 579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72" name="Text Box 58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73" name="Text Box 581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74" name="Text Box 582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75" name="Text Box 583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76" name="Text Box 584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77" name="Text Box 58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78" name="Text Box 586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79" name="Text Box 58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80" name="Text Box 588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81" name="Text Box 589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82" name="Text Box 590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83" name="Text Box 591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84" name="Text Box 592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85" name="Text Box 593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86" name="Text Box 594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87" name="Text Box 595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88" name="Text Box 596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89" name="Text Box 59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90" name="Text Box 598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91" name="Text Box 599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92" name="Text Box 600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93" name="Text Box 601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94" name="Text Box 602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95" name="Text Box 60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96" name="Text Box 604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97" name="Text Box 60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398" name="Text Box 606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399" name="Text Box 607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400" name="Text Box 60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401" name="Text Box 609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402" name="Text Box 61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403" name="Text Box 611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404" name="Text Box 612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405" name="Text Box 61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62</xdr:row>
      <xdr:rowOff>0</xdr:rowOff>
    </xdr:from>
    <xdr:to>
      <xdr:col>3</xdr:col>
      <xdr:colOff>265320</xdr:colOff>
      <xdr:row>63</xdr:row>
      <xdr:rowOff>36720</xdr:rowOff>
    </xdr:to>
    <xdr:sp>
      <xdr:nvSpPr>
        <xdr:cNvPr id="406" name="Text Box 614"/>
        <xdr:cNvSpPr/>
      </xdr:nvSpPr>
      <xdr:spPr>
        <a:xfrm>
          <a:off x="99324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407" name="Text Box 61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408" name="Text Box 616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409" name="Text Box 61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410" name="Text Box 61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411" name="Text Box 619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412" name="Text Box 620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413" name="Text Box 621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414" name="Text Box 622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415" name="Text Box 623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416" name="Text Box 624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417" name="Text Box 625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418" name="Text Box 626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419" name="Text Box 627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420" name="Text Box 628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62</xdr:row>
      <xdr:rowOff>0</xdr:rowOff>
    </xdr:from>
    <xdr:to>
      <xdr:col>3</xdr:col>
      <xdr:colOff>236880</xdr:colOff>
      <xdr:row>63</xdr:row>
      <xdr:rowOff>36720</xdr:rowOff>
    </xdr:to>
    <xdr:sp>
      <xdr:nvSpPr>
        <xdr:cNvPr id="421" name="Text Box 629"/>
        <xdr:cNvSpPr/>
      </xdr:nvSpPr>
      <xdr:spPr>
        <a:xfrm>
          <a:off x="964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162000</xdr:colOff>
      <xdr:row>62</xdr:row>
      <xdr:rowOff>0</xdr:rowOff>
    </xdr:from>
    <xdr:to>
      <xdr:col>4</xdr:col>
      <xdr:colOff>236880</xdr:colOff>
      <xdr:row>63</xdr:row>
      <xdr:rowOff>36720</xdr:rowOff>
    </xdr:to>
    <xdr:sp>
      <xdr:nvSpPr>
        <xdr:cNvPr id="422" name="Text Box 630"/>
        <xdr:cNvSpPr/>
      </xdr:nvSpPr>
      <xdr:spPr>
        <a:xfrm>
          <a:off x="17190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162000</xdr:colOff>
      <xdr:row>62</xdr:row>
      <xdr:rowOff>0</xdr:rowOff>
    </xdr:from>
    <xdr:to>
      <xdr:col>4</xdr:col>
      <xdr:colOff>236880</xdr:colOff>
      <xdr:row>63</xdr:row>
      <xdr:rowOff>36720</xdr:rowOff>
    </xdr:to>
    <xdr:sp>
      <xdr:nvSpPr>
        <xdr:cNvPr id="423" name="Text Box 631"/>
        <xdr:cNvSpPr/>
      </xdr:nvSpPr>
      <xdr:spPr>
        <a:xfrm>
          <a:off x="17190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190440</xdr:colOff>
      <xdr:row>62</xdr:row>
      <xdr:rowOff>0</xdr:rowOff>
    </xdr:from>
    <xdr:to>
      <xdr:col>9</xdr:col>
      <xdr:colOff>265320</xdr:colOff>
      <xdr:row>63</xdr:row>
      <xdr:rowOff>36720</xdr:rowOff>
    </xdr:to>
    <xdr:sp>
      <xdr:nvSpPr>
        <xdr:cNvPr id="424" name="Text Box 632"/>
        <xdr:cNvSpPr/>
      </xdr:nvSpPr>
      <xdr:spPr>
        <a:xfrm>
          <a:off x="6661800" y="1253664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25" name="Text Box 21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26" name="Text Box 213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27" name="Text Box 214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28" name="Text Box 215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29" name="Text Box 21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30" name="Text Box 217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31" name="Text Box 21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32" name="Text Box 219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33" name="Text Box 220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34" name="Text Box 221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35" name="Text Box 222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36" name="Text Box 223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37" name="Text Box 224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38" name="Text Box 225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39" name="Text Box 22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40" name="Text Box 227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41" name="Text Box 22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42" name="Text Box 229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43" name="Text Box 23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44" name="Text Box 231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45" name="Text Box 232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46" name="Text Box 233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47" name="Text Box 234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48" name="Text Box 235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49" name="Text Box 23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50" name="Text Box 237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51" name="Text Box 23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52" name="Text Box 239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53" name="Text Box 24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54" name="Text Box 241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55" name="Text Box 24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56" name="Text Box 243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57" name="Text Box 244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58" name="Text Box 245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59" name="Text Box 246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60" name="Text Box 247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61" name="Text Box 248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62" name="Text Box 249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63" name="Text Box 25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64" name="Text Box 251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65" name="Text Box 25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66" name="Text Box 253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67" name="Text Box 254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68" name="Text Box 255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69" name="Text Box 25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70" name="Text Box 257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71" name="Text Box 258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72" name="Text Box 259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73" name="Text Box 260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74" name="Text Box 261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75" name="Text Box 26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76" name="Text Box 263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77" name="Text Box 264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78" name="Text Box 265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79" name="Text Box 26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80" name="Text Box 267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81" name="Text Box 26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82" name="Text Box 269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83" name="Text Box 27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84" name="Text Box 271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85" name="Text Box 272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86" name="Text Box 273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87" name="Text Box 274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88" name="Text Box 275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89" name="Text Box 27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490" name="Text Box 277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91" name="Text Box 27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92" name="Text Box 28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93" name="Text Box 28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94" name="Text Box 283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95" name="Text Box 285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96" name="Text Box 287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97" name="Text Box 28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98" name="Text Box 289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499" name="Text Box 29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00" name="Text Box 291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01" name="Text Box 29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02" name="Text Box 293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647640</xdr:colOff>
      <xdr:row>4</xdr:row>
      <xdr:rowOff>123840</xdr:rowOff>
    </xdr:from>
    <xdr:to>
      <xdr:col>7</xdr:col>
      <xdr:colOff>722520</xdr:colOff>
      <xdr:row>6</xdr:row>
      <xdr:rowOff>56160</xdr:rowOff>
    </xdr:to>
    <xdr:sp>
      <xdr:nvSpPr>
        <xdr:cNvPr id="503" name="Text Box 107"/>
        <xdr:cNvSpPr/>
      </xdr:nvSpPr>
      <xdr:spPr>
        <a:xfrm>
          <a:off x="6112440" y="762120"/>
          <a:ext cx="74880" cy="217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304920</xdr:colOff>
      <xdr:row>6</xdr:row>
      <xdr:rowOff>47520</xdr:rowOff>
    </xdr:from>
    <xdr:to>
      <xdr:col>3</xdr:col>
      <xdr:colOff>379800</xdr:colOff>
      <xdr:row>7</xdr:row>
      <xdr:rowOff>103320</xdr:rowOff>
    </xdr:to>
    <xdr:sp>
      <xdr:nvSpPr>
        <xdr:cNvPr id="504" name="Text Box 108"/>
        <xdr:cNvSpPr/>
      </xdr:nvSpPr>
      <xdr:spPr>
        <a:xfrm>
          <a:off x="1107720" y="97128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05" name="Text Box 21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06" name="Text Box 213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07" name="Text Box 214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08" name="Text Box 215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09" name="Text Box 21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10" name="Text Box 217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11" name="Text Box 21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12" name="Text Box 219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13" name="Text Box 220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14" name="Text Box 221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15" name="Text Box 222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16" name="Text Box 223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17" name="Text Box 224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18" name="Text Box 225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19" name="Text Box 22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20" name="Text Box 227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21" name="Text Box 22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22" name="Text Box 229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23" name="Text Box 23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24" name="Text Box 231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25" name="Text Box 232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26" name="Text Box 233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27" name="Text Box 234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28" name="Text Box 235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29" name="Text Box 23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30" name="Text Box 237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31" name="Text Box 23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32" name="Text Box 239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33" name="Text Box 24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34" name="Text Box 241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35" name="Text Box 24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36" name="Text Box 243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37" name="Text Box 244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38" name="Text Box 245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39" name="Text Box 246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40" name="Text Box 247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41" name="Text Box 248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42" name="Text Box 249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43" name="Text Box 25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44" name="Text Box 251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45" name="Text Box 25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46" name="Text Box 253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47" name="Text Box 254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48" name="Text Box 255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49" name="Text Box 25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50" name="Text Box 257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51" name="Text Box 258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52" name="Text Box 259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53" name="Text Box 260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54" name="Text Box 261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55" name="Text Box 26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56" name="Text Box 263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57" name="Text Box 264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58" name="Text Box 265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59" name="Text Box 26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60" name="Text Box 267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61" name="Text Box 26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62" name="Text Box 269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63" name="Text Box 27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64" name="Text Box 271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65" name="Text Box 272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66" name="Text Box 273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67" name="Text Box 274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68" name="Text Box 275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69" name="Text Box 27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70" name="Text Box 277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71" name="Text Box 27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72" name="Text Box 28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73" name="Text Box 28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74" name="Text Box 283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75" name="Text Box 285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76" name="Text Box 287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77" name="Text Box 28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78" name="Text Box 289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79" name="Text Box 29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80" name="Text Box 291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81" name="Text Box 29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82" name="Text Box 293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83" name="Text Box 21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84" name="Text Box 213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85" name="Text Box 214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86" name="Text Box 215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87" name="Text Box 21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88" name="Text Box 217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89" name="Text Box 21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90" name="Text Box 219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91" name="Text Box 220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92" name="Text Box 221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93" name="Text Box 222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94" name="Text Box 223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95" name="Text Box 224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96" name="Text Box 225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97" name="Text Box 22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598" name="Text Box 227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599" name="Text Box 22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00" name="Text Box 229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01" name="Text Box 23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02" name="Text Box 231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03" name="Text Box 232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04" name="Text Box 233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05" name="Text Box 234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06" name="Text Box 235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07" name="Text Box 23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08" name="Text Box 237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09" name="Text Box 23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10" name="Text Box 239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11" name="Text Box 24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12" name="Text Box 241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13" name="Text Box 24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14" name="Text Box 243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15" name="Text Box 244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16" name="Text Box 245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17" name="Text Box 246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18" name="Text Box 247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19" name="Text Box 248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20" name="Text Box 249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21" name="Text Box 25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22" name="Text Box 251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23" name="Text Box 25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24" name="Text Box 253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25" name="Text Box 254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26" name="Text Box 255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27" name="Text Box 25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28" name="Text Box 257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29" name="Text Box 258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30" name="Text Box 259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31" name="Text Box 260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32" name="Text Box 261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33" name="Text Box 26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34" name="Text Box 263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35" name="Text Box 264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36" name="Text Box 265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37" name="Text Box 26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38" name="Text Box 267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39" name="Text Box 26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40" name="Text Box 269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41" name="Text Box 27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42" name="Text Box 271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43" name="Text Box 272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44" name="Text Box 273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45" name="Text Box 274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46" name="Text Box 275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47" name="Text Box 276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190440</xdr:colOff>
      <xdr:row>5</xdr:row>
      <xdr:rowOff>0</xdr:rowOff>
    </xdr:from>
    <xdr:to>
      <xdr:col>3</xdr:col>
      <xdr:colOff>265320</xdr:colOff>
      <xdr:row>6</xdr:row>
      <xdr:rowOff>56160</xdr:rowOff>
    </xdr:to>
    <xdr:sp>
      <xdr:nvSpPr>
        <xdr:cNvPr id="648" name="Text Box 277"/>
        <xdr:cNvSpPr/>
      </xdr:nvSpPr>
      <xdr:spPr>
        <a:xfrm>
          <a:off x="99324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49" name="Text Box 27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50" name="Text Box 28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51" name="Text Box 28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52" name="Text Box 283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53" name="Text Box 285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54" name="Text Box 287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55" name="Text Box 288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56" name="Text Box 289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57" name="Text Box 290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58" name="Text Box 291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59" name="Text Box 292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162000</xdr:colOff>
      <xdr:row>5</xdr:row>
      <xdr:rowOff>0</xdr:rowOff>
    </xdr:from>
    <xdr:to>
      <xdr:col>3</xdr:col>
      <xdr:colOff>236880</xdr:colOff>
      <xdr:row>6</xdr:row>
      <xdr:rowOff>56160</xdr:rowOff>
    </xdr:to>
    <xdr:sp>
      <xdr:nvSpPr>
        <xdr:cNvPr id="660" name="Text Box 293"/>
        <xdr:cNvSpPr/>
      </xdr:nvSpPr>
      <xdr:spPr>
        <a:xfrm>
          <a:off x="964800" y="781200"/>
          <a:ext cx="74880" cy="198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142920</xdr:colOff>
      <xdr:row>54</xdr:row>
      <xdr:rowOff>38160</xdr:rowOff>
    </xdr:from>
    <xdr:to>
      <xdr:col>7</xdr:col>
      <xdr:colOff>597600</xdr:colOff>
      <xdr:row>58</xdr:row>
      <xdr:rowOff>27000</xdr:rowOff>
    </xdr:to>
    <xdr:pic>
      <xdr:nvPicPr>
        <xdr:cNvPr id="661" name="Picture 661"/>
        <xdr:cNvPicPr/>
      </xdr:nvPicPr>
      <xdr:blipFill>
        <a:blip r:embed="rId2"/>
        <a:stretch/>
      </xdr:blipFill>
      <xdr:spPr>
        <a:xfrm>
          <a:off x="4912920" y="11222280"/>
          <a:ext cx="1149480" cy="636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343080</xdr:colOff>
      <xdr:row>53</xdr:row>
      <xdr:rowOff>76320</xdr:rowOff>
    </xdr:from>
    <xdr:to>
      <xdr:col>11</xdr:col>
      <xdr:colOff>633240</xdr:colOff>
      <xdr:row>58</xdr:row>
      <xdr:rowOff>27720</xdr:rowOff>
    </xdr:to>
    <xdr:pic>
      <xdr:nvPicPr>
        <xdr:cNvPr id="662" name="Picture 662"/>
        <xdr:cNvPicPr/>
      </xdr:nvPicPr>
      <xdr:blipFill>
        <a:blip r:embed="rId3"/>
        <a:stretch/>
      </xdr:blipFill>
      <xdr:spPr>
        <a:xfrm>
          <a:off x="7553520" y="11136600"/>
          <a:ext cx="1246320" cy="723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762120</xdr:colOff>
      <xdr:row>52</xdr:row>
      <xdr:rowOff>28440</xdr:rowOff>
    </xdr:from>
    <xdr:to>
      <xdr:col>9</xdr:col>
      <xdr:colOff>668520</xdr:colOff>
      <xdr:row>59</xdr:row>
      <xdr:rowOff>96120</xdr:rowOff>
    </xdr:to>
    <xdr:pic>
      <xdr:nvPicPr>
        <xdr:cNvPr id="663" name="Picture 663"/>
        <xdr:cNvPicPr/>
      </xdr:nvPicPr>
      <xdr:blipFill>
        <a:blip r:embed="rId4"/>
        <a:stretch/>
      </xdr:blipFill>
      <xdr:spPr>
        <a:xfrm>
          <a:off x="6226920" y="10868400"/>
          <a:ext cx="912960" cy="1278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2"/>
  <sheetViews>
    <sheetView showFormulas="false" showGridLines="false" showRowColHeaders="true" showZeros="true" rightToLeft="false" tabSelected="true" showOutlineSymbols="true" defaultGridColor="true" view="normal" topLeftCell="A44" colorId="64" zoomScale="110" zoomScaleNormal="110" zoomScalePageLayoutView="100" workbookViewId="0">
      <selection pane="topLeft" activeCell="J73" activeCellId="0" sqref="J73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" width="10.14"/>
    <col collapsed="false" customWidth="true" hidden="false" outlineLevel="0" max="3" min="2" style="2" width="0.62"/>
    <col collapsed="false" customWidth="true" hidden="false" outlineLevel="0" max="4" min="4" style="2" width="10.71"/>
    <col collapsed="false" customWidth="true" hidden="false" outlineLevel="0" max="5" min="5" style="2" width="27.71"/>
    <col collapsed="false" customWidth="true" hidden="false" outlineLevel="0" max="6" min="6" style="2" width="17.88"/>
    <col collapsed="false" customWidth="true" hidden="false" outlineLevel="0" max="7" min="7" style="2" width="9.86"/>
    <col collapsed="false" customWidth="true" hidden="false" outlineLevel="0" max="8" min="8" style="2" width="13.57"/>
    <col collapsed="false" customWidth="true" hidden="false" outlineLevel="0" max="9" min="9" style="2" width="0.71"/>
    <col collapsed="false" customWidth="true" hidden="false" outlineLevel="0" max="10" min="10" style="2" width="10.49"/>
    <col collapsed="false" customWidth="true" hidden="false" outlineLevel="0" max="11" min="11" style="2" width="13.57"/>
    <col collapsed="false" customWidth="true" hidden="false" outlineLevel="0" max="12" min="12" style="2" width="14.86"/>
    <col collapsed="false" customWidth="true" hidden="false" outlineLevel="0" max="13" min="13" style="1" width="5.56"/>
    <col collapsed="false" customWidth="false" hidden="false" outlineLevel="0" max="16384" min="14" style="2" width="9.14"/>
  </cols>
  <sheetData>
    <row r="1" customFormat="false" ht="6" hidden="false" customHeight="true" outlineLevel="0" collapsed="false"/>
    <row r="2" customFormat="false" ht="16.5" hidden="false" customHeight="true" outlineLevel="0" collapsed="false">
      <c r="D2" s="3" t="s">
        <v>0</v>
      </c>
      <c r="E2" s="3"/>
      <c r="F2" s="4"/>
      <c r="G2" s="4"/>
      <c r="H2" s="4"/>
      <c r="I2" s="4"/>
      <c r="J2" s="3" t="s">
        <v>1</v>
      </c>
      <c r="K2" s="3"/>
      <c r="L2" s="3"/>
    </row>
    <row r="3" customFormat="false" ht="16.5" hidden="false" customHeight="true" outlineLevel="0" collapsed="false">
      <c r="D3" s="5" t="s">
        <v>2</v>
      </c>
      <c r="E3" s="5"/>
      <c r="F3" s="4"/>
      <c r="G3" s="4"/>
      <c r="H3" s="4"/>
      <c r="I3" s="4"/>
      <c r="J3" s="6" t="s">
        <v>3</v>
      </c>
      <c r="K3" s="6"/>
      <c r="L3" s="6"/>
    </row>
    <row r="4" s="8" customFormat="true" ht="11.25" hidden="false" customHeight="true" outlineLevel="0" collapsed="false">
      <c r="A4" s="7"/>
      <c r="D4" s="9" t="s">
        <v>4</v>
      </c>
      <c r="E4" s="9"/>
      <c r="F4" s="9"/>
      <c r="G4" s="9"/>
      <c r="H4" s="9"/>
      <c r="I4" s="10"/>
      <c r="J4" s="11"/>
      <c r="K4" s="11"/>
      <c r="L4" s="11"/>
      <c r="M4" s="7"/>
    </row>
    <row r="5" s="8" customFormat="true" ht="11.25" hidden="false" customHeight="true" outlineLevel="0" collapsed="false">
      <c r="A5" s="7"/>
      <c r="D5" s="9" t="s">
        <v>5</v>
      </c>
      <c r="E5" s="9"/>
      <c r="F5" s="9"/>
      <c r="G5" s="9"/>
      <c r="H5" s="9"/>
      <c r="I5" s="10"/>
      <c r="J5" s="12"/>
      <c r="K5" s="13"/>
      <c r="L5" s="14"/>
      <c r="M5" s="7"/>
    </row>
    <row r="6" s="8" customFormat="true" ht="11.25" hidden="false" customHeight="true" outlineLevel="0" collapsed="false">
      <c r="A6" s="7"/>
      <c r="D6" s="9" t="s">
        <v>6</v>
      </c>
      <c r="E6" s="9"/>
      <c r="F6" s="9"/>
      <c r="G6" s="9"/>
      <c r="H6" s="9"/>
      <c r="I6" s="10"/>
      <c r="J6" s="10"/>
      <c r="K6" s="10"/>
      <c r="L6" s="15"/>
      <c r="M6" s="7"/>
    </row>
    <row r="7" s="8" customFormat="true" ht="11.25" hidden="false" customHeight="true" outlineLevel="0" collapsed="false">
      <c r="A7" s="7"/>
      <c r="D7" s="9" t="s">
        <v>7</v>
      </c>
      <c r="E7" s="9"/>
      <c r="F7" s="9"/>
      <c r="G7" s="9"/>
      <c r="H7" s="9"/>
      <c r="I7" s="10"/>
      <c r="J7" s="10"/>
      <c r="K7" s="10"/>
      <c r="L7" s="15"/>
      <c r="M7" s="7"/>
    </row>
    <row r="8" s="8" customFormat="true" ht="9.75" hidden="false" customHeight="true" outlineLevel="0" collapsed="false">
      <c r="A8" s="7"/>
      <c r="D8" s="9" t="s">
        <v>8</v>
      </c>
      <c r="E8" s="9"/>
      <c r="F8" s="9"/>
      <c r="G8" s="9"/>
      <c r="H8" s="9"/>
      <c r="I8" s="10"/>
      <c r="J8" s="16"/>
      <c r="K8" s="16"/>
      <c r="L8" s="16"/>
      <c r="M8" s="7"/>
    </row>
    <row r="9" customFormat="false" ht="12.75" hidden="false" customHeight="true" outlineLevel="0" collapsed="false">
      <c r="D9" s="17"/>
      <c r="E9" s="17"/>
      <c r="F9" s="17"/>
      <c r="G9" s="17"/>
      <c r="H9" s="17"/>
      <c r="I9" s="17"/>
      <c r="J9" s="17"/>
      <c r="K9" s="17"/>
      <c r="L9" s="17"/>
    </row>
    <row r="10" s="19" customFormat="true" ht="16.5" hidden="false" customHeight="true" outlineLevel="0" collapsed="false">
      <c r="A10" s="18"/>
      <c r="D10" s="20" t="s">
        <v>9</v>
      </c>
      <c r="E10" s="21"/>
      <c r="F10" s="21"/>
      <c r="G10" s="21"/>
      <c r="H10" s="21"/>
      <c r="I10" s="22"/>
      <c r="J10" s="23" t="s">
        <v>10</v>
      </c>
      <c r="K10" s="24"/>
      <c r="L10" s="24"/>
      <c r="M10" s="25"/>
    </row>
    <row r="11" customFormat="false" ht="18.75" hidden="false" customHeight="true" outlineLevel="0" collapsed="false">
      <c r="D11" s="11" t="s">
        <v>11</v>
      </c>
      <c r="E11" s="26"/>
      <c r="F11" s="26"/>
      <c r="G11" s="26"/>
      <c r="H11" s="26"/>
      <c r="I11" s="4"/>
      <c r="J11" s="11" t="s">
        <v>12</v>
      </c>
      <c r="K11" s="27"/>
      <c r="L11" s="27"/>
    </row>
    <row r="12" customFormat="false" ht="18.75" hidden="false" customHeight="true" outlineLevel="0" collapsed="false">
      <c r="D12" s="20" t="s">
        <v>13</v>
      </c>
      <c r="E12" s="28"/>
      <c r="F12" s="28"/>
      <c r="G12" s="28"/>
      <c r="H12" s="28"/>
      <c r="I12" s="29"/>
      <c r="J12" s="23" t="s">
        <v>14</v>
      </c>
      <c r="K12" s="30"/>
      <c r="L12" s="30"/>
      <c r="M12" s="31"/>
    </row>
    <row r="13" customFormat="false" ht="22.5" hidden="false" customHeight="true" outlineLevel="0" collapsed="false">
      <c r="D13" s="11" t="s">
        <v>15</v>
      </c>
      <c r="E13" s="28"/>
      <c r="F13" s="28"/>
      <c r="G13" s="28"/>
      <c r="H13" s="28"/>
      <c r="I13" s="4"/>
      <c r="J13" s="11" t="s">
        <v>16</v>
      </c>
      <c r="K13" s="32"/>
      <c r="L13" s="32"/>
      <c r="M13" s="31"/>
    </row>
    <row r="14" customFormat="false" ht="18.75" hidden="false" customHeight="true" outlineLevel="0" collapsed="false">
      <c r="D14" s="11"/>
      <c r="E14" s="33"/>
      <c r="F14" s="34"/>
      <c r="G14" s="34"/>
      <c r="H14" s="35"/>
      <c r="I14" s="4"/>
      <c r="J14" s="36" t="s">
        <v>17</v>
      </c>
      <c r="K14" s="30"/>
      <c r="L14" s="30"/>
      <c r="M14" s="31"/>
    </row>
    <row r="15" customFormat="false" ht="18.75" hidden="false" customHeight="true" outlineLevel="0" collapsed="false">
      <c r="D15" s="37" t="s">
        <v>18</v>
      </c>
      <c r="E15" s="38" t="s">
        <v>19</v>
      </c>
      <c r="F15" s="39"/>
      <c r="G15" s="40"/>
      <c r="H15" s="40"/>
      <c r="I15" s="4"/>
    </row>
    <row r="16" customFormat="false" ht="0.75" hidden="false" customHeight="true" outlineLevel="0" collapsed="false">
      <c r="D16" s="41"/>
      <c r="F16" s="40"/>
      <c r="G16" s="40"/>
      <c r="H16" s="40"/>
      <c r="I16" s="4"/>
      <c r="J16" s="17"/>
      <c r="K16" s="17"/>
      <c r="L16" s="17"/>
    </row>
    <row r="17" customFormat="false" ht="23.1" hidden="false" customHeight="true" outlineLevel="0" collapsed="false">
      <c r="D17" s="42" t="s">
        <v>20</v>
      </c>
      <c r="E17" s="43"/>
      <c r="F17" s="44"/>
      <c r="G17" s="45"/>
      <c r="H17" s="17"/>
      <c r="I17" s="17"/>
      <c r="J17" s="4"/>
      <c r="K17" s="4"/>
      <c r="L17" s="17"/>
    </row>
    <row r="18" customFormat="false" ht="18.75" hidden="false" customHeight="true" outlineLevel="0" collapsed="false">
      <c r="D18" s="46" t="s">
        <v>14</v>
      </c>
      <c r="E18" s="47" t="s">
        <v>21</v>
      </c>
      <c r="F18" s="47"/>
      <c r="G18" s="47"/>
      <c r="H18" s="47"/>
      <c r="I18" s="47"/>
      <c r="J18" s="48" t="s">
        <v>22</v>
      </c>
      <c r="K18" s="49" t="s">
        <v>23</v>
      </c>
      <c r="L18" s="50" t="s">
        <v>24</v>
      </c>
    </row>
    <row r="19" customFormat="false" ht="18.75" hidden="false" customHeight="true" outlineLevel="0" collapsed="false">
      <c r="D19" s="51" t="s">
        <v>25</v>
      </c>
      <c r="E19" s="52" t="s">
        <v>26</v>
      </c>
      <c r="F19" s="52"/>
      <c r="G19" s="52"/>
      <c r="H19" s="52"/>
      <c r="I19" s="52"/>
      <c r="J19" s="53" t="s">
        <v>27</v>
      </c>
      <c r="K19" s="54" t="s">
        <v>28</v>
      </c>
      <c r="L19" s="55" t="s">
        <v>29</v>
      </c>
    </row>
    <row r="20" customFormat="false" ht="2.25" hidden="false" customHeight="true" outlineLevel="0" collapsed="false">
      <c r="D20" s="56"/>
      <c r="E20" s="57"/>
      <c r="F20" s="57" t="s">
        <v>30</v>
      </c>
      <c r="G20" s="57"/>
      <c r="H20" s="57"/>
      <c r="I20" s="57"/>
      <c r="J20" s="57"/>
      <c r="K20" s="57"/>
      <c r="L20" s="58"/>
    </row>
    <row r="21" s="60" customFormat="true" ht="9" hidden="false" customHeight="true" outlineLevel="0" collapsed="false">
      <c r="A21" s="59"/>
      <c r="D21" s="61"/>
      <c r="E21" s="62"/>
      <c r="F21" s="63"/>
      <c r="G21" s="64"/>
      <c r="H21" s="64"/>
      <c r="I21" s="65"/>
      <c r="J21" s="64"/>
      <c r="K21" s="66"/>
      <c r="L21" s="67"/>
      <c r="M21" s="59"/>
    </row>
    <row r="22" s="69" customFormat="true" ht="18.75" hidden="false" customHeight="true" outlineLevel="0" collapsed="false">
      <c r="A22" s="68"/>
      <c r="D22" s="70"/>
      <c r="E22" s="71"/>
      <c r="F22" s="71"/>
      <c r="G22" s="71"/>
      <c r="H22" s="71"/>
      <c r="I22" s="72"/>
      <c r="J22" s="73"/>
      <c r="K22" s="74"/>
      <c r="L22" s="75"/>
      <c r="M22" s="68"/>
    </row>
    <row r="23" s="69" customFormat="true" ht="18.75" hidden="false" customHeight="true" outlineLevel="0" collapsed="false">
      <c r="A23" s="68"/>
      <c r="D23" s="76" t="n">
        <v>1</v>
      </c>
      <c r="E23" s="77"/>
      <c r="F23" s="77"/>
      <c r="G23" s="77"/>
      <c r="H23" s="77"/>
      <c r="I23" s="78"/>
      <c r="J23" s="73"/>
      <c r="K23" s="79"/>
      <c r="L23" s="80"/>
      <c r="M23" s="68"/>
    </row>
    <row r="24" s="69" customFormat="true" ht="18.75" hidden="false" customHeight="true" outlineLevel="0" collapsed="false">
      <c r="A24" s="68"/>
      <c r="D24" s="76"/>
      <c r="E24" s="81"/>
      <c r="F24" s="81"/>
      <c r="G24" s="81"/>
      <c r="H24" s="81"/>
      <c r="I24" s="78"/>
      <c r="J24" s="73" t="n">
        <v>1</v>
      </c>
      <c r="K24" s="82" t="n">
        <v>0</v>
      </c>
      <c r="L24" s="80" t="n">
        <f aca="false">K24*J24</f>
        <v>0</v>
      </c>
      <c r="M24" s="83"/>
    </row>
    <row r="25" s="69" customFormat="true" ht="18.75" hidden="false" customHeight="true" outlineLevel="0" collapsed="false">
      <c r="A25" s="68"/>
      <c r="D25" s="76"/>
      <c r="E25" s="81"/>
      <c r="F25" s="81"/>
      <c r="G25" s="81"/>
      <c r="H25" s="81"/>
      <c r="I25" s="78"/>
      <c r="J25" s="73"/>
      <c r="K25" s="84"/>
      <c r="L25" s="85"/>
      <c r="M25" s="68"/>
    </row>
    <row r="26" s="69" customFormat="true" ht="18.75" hidden="false" customHeight="true" outlineLevel="0" collapsed="false">
      <c r="A26" s="68"/>
      <c r="D26" s="76"/>
      <c r="E26" s="81"/>
      <c r="F26" s="81"/>
      <c r="G26" s="81"/>
      <c r="H26" s="81"/>
      <c r="I26" s="78"/>
      <c r="J26" s="73"/>
      <c r="K26" s="82"/>
      <c r="L26" s="80"/>
      <c r="M26" s="68"/>
    </row>
    <row r="27" s="87" customFormat="true" ht="18.75" hidden="false" customHeight="true" outlineLevel="0" collapsed="false">
      <c r="A27" s="86"/>
      <c r="D27" s="76"/>
      <c r="E27" s="81"/>
      <c r="F27" s="81"/>
      <c r="G27" s="81"/>
      <c r="H27" s="81"/>
      <c r="I27" s="78"/>
      <c r="J27" s="73"/>
      <c r="K27" s="82"/>
      <c r="L27" s="80"/>
      <c r="M27" s="86"/>
    </row>
    <row r="28" s="87" customFormat="true" ht="18.75" hidden="false" customHeight="true" outlineLevel="0" collapsed="false">
      <c r="A28" s="86"/>
      <c r="D28" s="76"/>
      <c r="E28" s="81"/>
      <c r="F28" s="81"/>
      <c r="G28" s="81"/>
      <c r="H28" s="81"/>
      <c r="I28" s="78"/>
      <c r="J28" s="73"/>
      <c r="K28" s="82"/>
      <c r="L28" s="80"/>
      <c r="M28" s="86"/>
    </row>
    <row r="29" s="87" customFormat="true" ht="18.75" hidden="false" customHeight="true" outlineLevel="0" collapsed="false">
      <c r="A29" s="86"/>
      <c r="D29" s="76"/>
      <c r="E29" s="81"/>
      <c r="F29" s="81"/>
      <c r="G29" s="81"/>
      <c r="H29" s="81"/>
      <c r="I29" s="78"/>
      <c r="J29" s="73"/>
      <c r="K29" s="82"/>
      <c r="L29" s="80"/>
      <c r="M29" s="86"/>
    </row>
    <row r="30" s="87" customFormat="true" ht="18.75" hidden="false" customHeight="true" outlineLevel="0" collapsed="false">
      <c r="A30" s="86"/>
      <c r="D30" s="76"/>
      <c r="E30" s="81"/>
      <c r="F30" s="81"/>
      <c r="G30" s="81"/>
      <c r="H30" s="81"/>
      <c r="I30" s="88"/>
      <c r="J30" s="89"/>
      <c r="K30" s="74"/>
      <c r="L30" s="80"/>
      <c r="M30" s="86"/>
    </row>
    <row r="31" s="87" customFormat="true" ht="18.75" hidden="false" customHeight="true" outlineLevel="0" collapsed="false">
      <c r="A31" s="86"/>
      <c r="D31" s="76"/>
      <c r="E31" s="81"/>
      <c r="F31" s="81"/>
      <c r="G31" s="81"/>
      <c r="H31" s="81"/>
      <c r="I31" s="90"/>
      <c r="J31" s="89"/>
      <c r="K31" s="74"/>
      <c r="L31" s="80"/>
      <c r="M31" s="86"/>
    </row>
    <row r="32" s="87" customFormat="true" ht="18.75" hidden="false" customHeight="true" outlineLevel="0" collapsed="false">
      <c r="A32" s="86"/>
      <c r="D32" s="76"/>
      <c r="E32" s="81"/>
      <c r="F32" s="81"/>
      <c r="G32" s="81"/>
      <c r="H32" s="81"/>
      <c r="I32" s="90"/>
      <c r="J32" s="89"/>
      <c r="K32" s="74"/>
      <c r="L32" s="80"/>
      <c r="M32" s="86"/>
    </row>
    <row r="33" s="87" customFormat="true" ht="18.75" hidden="false" customHeight="true" outlineLevel="0" collapsed="false">
      <c r="A33" s="86"/>
      <c r="D33" s="76"/>
      <c r="E33" s="81"/>
      <c r="F33" s="81"/>
      <c r="G33" s="81"/>
      <c r="H33" s="81"/>
      <c r="I33" s="90"/>
      <c r="J33" s="89"/>
      <c r="K33" s="74"/>
      <c r="L33" s="80"/>
      <c r="M33" s="86"/>
    </row>
    <row r="34" s="87" customFormat="true" ht="18.75" hidden="false" customHeight="true" outlineLevel="0" collapsed="false">
      <c r="A34" s="86"/>
      <c r="D34" s="76"/>
      <c r="E34" s="81"/>
      <c r="F34" s="81"/>
      <c r="G34" s="81"/>
      <c r="H34" s="81"/>
      <c r="I34" s="90"/>
      <c r="J34" s="89"/>
      <c r="K34" s="74"/>
      <c r="L34" s="80"/>
      <c r="M34" s="86"/>
    </row>
    <row r="35" s="87" customFormat="true" ht="18.75" hidden="false" customHeight="true" outlineLevel="0" collapsed="false">
      <c r="A35" s="86"/>
      <c r="D35" s="76"/>
      <c r="E35" s="81"/>
      <c r="F35" s="81"/>
      <c r="G35" s="81"/>
      <c r="H35" s="81"/>
      <c r="I35" s="90"/>
      <c r="J35" s="89"/>
      <c r="K35" s="74"/>
      <c r="L35" s="80"/>
      <c r="M35" s="86"/>
    </row>
    <row r="36" s="87" customFormat="true" ht="18.75" hidden="false" customHeight="true" outlineLevel="0" collapsed="false">
      <c r="A36" s="86"/>
      <c r="D36" s="76"/>
      <c r="E36" s="81"/>
      <c r="F36" s="81"/>
      <c r="G36" s="81"/>
      <c r="H36" s="81"/>
      <c r="I36" s="90"/>
      <c r="J36" s="89"/>
      <c r="K36" s="74"/>
      <c r="L36" s="80"/>
      <c r="M36" s="86"/>
    </row>
    <row r="37" s="87" customFormat="true" ht="18.75" hidden="false" customHeight="true" outlineLevel="0" collapsed="false">
      <c r="A37" s="86"/>
      <c r="D37" s="76"/>
      <c r="E37" s="81"/>
      <c r="F37" s="81"/>
      <c r="G37" s="81"/>
      <c r="H37" s="81"/>
      <c r="I37" s="90"/>
      <c r="J37" s="89"/>
      <c r="K37" s="74"/>
      <c r="L37" s="80"/>
      <c r="M37" s="86"/>
    </row>
    <row r="38" s="87" customFormat="true" ht="18.75" hidden="false" customHeight="true" outlineLevel="0" collapsed="false">
      <c r="A38" s="86"/>
      <c r="D38" s="76"/>
      <c r="E38" s="81"/>
      <c r="F38" s="81"/>
      <c r="G38" s="81"/>
      <c r="H38" s="81"/>
      <c r="I38" s="90"/>
      <c r="J38" s="89"/>
      <c r="K38" s="74"/>
      <c r="L38" s="80"/>
      <c r="M38" s="86"/>
    </row>
    <row r="39" s="87" customFormat="true" ht="18.75" hidden="false" customHeight="true" outlineLevel="0" collapsed="false">
      <c r="A39" s="86"/>
      <c r="D39" s="91"/>
      <c r="E39" s="81"/>
      <c r="F39" s="81"/>
      <c r="G39" s="81"/>
      <c r="H39" s="81"/>
      <c r="I39" s="90"/>
      <c r="J39" s="89"/>
      <c r="K39" s="74"/>
      <c r="L39" s="80"/>
      <c r="M39" s="86"/>
    </row>
    <row r="40" s="87" customFormat="true" ht="18.75" hidden="false" customHeight="true" outlineLevel="0" collapsed="false">
      <c r="A40" s="86"/>
      <c r="D40" s="91"/>
      <c r="E40" s="81"/>
      <c r="F40" s="81"/>
      <c r="G40" s="81"/>
      <c r="H40" s="81"/>
      <c r="I40" s="90"/>
      <c r="J40" s="89"/>
      <c r="K40" s="74"/>
      <c r="L40" s="80"/>
      <c r="M40" s="86"/>
    </row>
    <row r="41" s="87" customFormat="true" ht="18.75" hidden="false" customHeight="true" outlineLevel="0" collapsed="false">
      <c r="A41" s="86"/>
      <c r="D41" s="91"/>
      <c r="E41" s="81"/>
      <c r="F41" s="81"/>
      <c r="G41" s="81"/>
      <c r="H41" s="81"/>
      <c r="I41" s="90"/>
      <c r="J41" s="89"/>
      <c r="K41" s="74"/>
      <c r="L41" s="80"/>
      <c r="M41" s="86"/>
    </row>
    <row r="42" s="87" customFormat="true" ht="18.75" hidden="false" customHeight="true" outlineLevel="0" collapsed="false">
      <c r="A42" s="86"/>
      <c r="D42" s="91"/>
      <c r="E42" s="81"/>
      <c r="F42" s="81"/>
      <c r="G42" s="81"/>
      <c r="H42" s="81"/>
      <c r="I42" s="90"/>
      <c r="J42" s="89"/>
      <c r="K42" s="74"/>
      <c r="L42" s="80"/>
      <c r="M42" s="86"/>
    </row>
    <row r="43" s="87" customFormat="true" ht="18.75" hidden="false" customHeight="true" outlineLevel="0" collapsed="false">
      <c r="A43" s="86"/>
      <c r="D43" s="91"/>
      <c r="E43" s="81"/>
      <c r="F43" s="81"/>
      <c r="G43" s="81"/>
      <c r="H43" s="81"/>
      <c r="I43" s="90"/>
      <c r="J43" s="92"/>
      <c r="K43" s="93"/>
      <c r="L43" s="94"/>
      <c r="M43" s="86"/>
    </row>
    <row r="44" s="87" customFormat="true" ht="18.75" hidden="false" customHeight="true" outlineLevel="0" collapsed="false">
      <c r="A44" s="86"/>
      <c r="D44" s="91"/>
      <c r="E44" s="81"/>
      <c r="F44" s="81"/>
      <c r="G44" s="81"/>
      <c r="H44" s="81"/>
      <c r="I44" s="90"/>
      <c r="J44" s="92"/>
      <c r="K44" s="93"/>
      <c r="L44" s="94"/>
      <c r="M44" s="86"/>
    </row>
    <row r="45" s="87" customFormat="true" ht="18" hidden="false" customHeight="true" outlineLevel="0" collapsed="false">
      <c r="A45" s="86"/>
      <c r="D45" s="91"/>
      <c r="E45" s="81"/>
      <c r="F45" s="81"/>
      <c r="G45" s="81"/>
      <c r="H45" s="81"/>
      <c r="I45" s="90"/>
      <c r="J45" s="92"/>
      <c r="K45" s="93"/>
      <c r="L45" s="94"/>
      <c r="M45" s="86"/>
    </row>
    <row r="46" customFormat="false" ht="18.75" hidden="false" customHeight="true" outlineLevel="0" collapsed="false">
      <c r="D46" s="95" t="s">
        <v>31</v>
      </c>
      <c r="E46" s="96"/>
      <c r="F46" s="97"/>
      <c r="G46" s="96"/>
      <c r="H46" s="96"/>
      <c r="I46" s="98"/>
      <c r="J46" s="99" t="s">
        <v>32</v>
      </c>
      <c r="K46" s="99"/>
      <c r="L46" s="100" t="n">
        <f aca="false">SUM(L23:L45)</f>
        <v>0</v>
      </c>
      <c r="M46" s="101"/>
    </row>
    <row r="47" customFormat="false" ht="21.75" hidden="false" customHeight="true" outlineLevel="0" collapsed="false">
      <c r="D47" s="102"/>
      <c r="E47" s="103"/>
      <c r="F47" s="103"/>
      <c r="G47" s="103"/>
      <c r="H47" s="103"/>
      <c r="I47" s="104"/>
      <c r="J47" s="105"/>
      <c r="K47" s="105"/>
      <c r="L47" s="106"/>
    </row>
    <row r="48" customFormat="false" ht="16.5" hidden="false" customHeight="true" outlineLevel="0" collapsed="false">
      <c r="D48" s="102"/>
      <c r="E48" s="107" t="s">
        <v>33</v>
      </c>
      <c r="F48" s="103"/>
      <c r="G48" s="103"/>
      <c r="H48" s="103"/>
      <c r="I48" s="104"/>
      <c r="J48" s="108" t="s">
        <v>34</v>
      </c>
      <c r="K48" s="108"/>
      <c r="L48" s="109" t="n">
        <f aca="false">L46</f>
        <v>0</v>
      </c>
      <c r="M48" s="101"/>
    </row>
    <row r="49" customFormat="false" ht="20.25" hidden="false" customHeight="true" outlineLevel="0" collapsed="false">
      <c r="D49" s="110"/>
      <c r="E49" s="107" t="s">
        <v>35</v>
      </c>
      <c r="F49" s="107"/>
      <c r="G49" s="107"/>
      <c r="H49" s="107"/>
      <c r="I49" s="111"/>
      <c r="J49" s="112" t="s">
        <v>36</v>
      </c>
      <c r="K49" s="112"/>
      <c r="L49" s="113" t="n">
        <f aca="false">L48*7/100</f>
        <v>0</v>
      </c>
      <c r="M49" s="114"/>
    </row>
    <row r="50" customFormat="false" ht="19.7" hidden="false" customHeight="false" outlineLevel="0" collapsed="false">
      <c r="D50" s="115" t="str">
        <f aca="false">bahttext(L50)</f>
        <v>ศูนย์บาทถ้วน</v>
      </c>
      <c r="E50" s="115"/>
      <c r="F50" s="115"/>
      <c r="G50" s="115"/>
      <c r="H50" s="115"/>
      <c r="I50" s="115"/>
      <c r="J50" s="116" t="s">
        <v>37</v>
      </c>
      <c r="K50" s="116"/>
      <c r="L50" s="117" t="n">
        <f aca="false">L48+L49</f>
        <v>0</v>
      </c>
      <c r="M50" s="31"/>
    </row>
    <row r="51" customFormat="false" ht="12" hidden="false" customHeight="true" outlineLevel="0" collapsed="false">
      <c r="D51" s="118"/>
      <c r="E51" s="118"/>
      <c r="F51" s="118"/>
      <c r="G51" s="118"/>
      <c r="H51" s="118"/>
      <c r="I51" s="118"/>
      <c r="J51" s="5"/>
      <c r="K51" s="5"/>
      <c r="L51" s="119"/>
    </row>
    <row r="52" customFormat="false" ht="2.25" hidden="false" customHeight="true" outlineLevel="0" collapsed="false">
      <c r="D52" s="118"/>
      <c r="E52" s="118"/>
      <c r="F52" s="118"/>
      <c r="G52" s="118"/>
      <c r="H52" s="118"/>
      <c r="I52" s="118"/>
      <c r="J52" s="5"/>
      <c r="K52" s="5"/>
      <c r="L52" s="119"/>
    </row>
    <row r="53" customFormat="false" ht="17.35" hidden="false" customHeight="false" outlineLevel="0" collapsed="false">
      <c r="D53" s="120" t="s">
        <v>38</v>
      </c>
      <c r="E53" s="121"/>
      <c r="F53" s="121"/>
      <c r="G53" s="122" t="s">
        <v>39</v>
      </c>
      <c r="H53" s="121"/>
      <c r="I53" s="121"/>
      <c r="J53" s="121"/>
      <c r="K53" s="20" t="s">
        <v>40</v>
      </c>
      <c r="L53" s="20"/>
    </row>
    <row r="54" customFormat="false" ht="9.75" hidden="false" customHeight="true" outlineLevel="0" collapsed="false">
      <c r="D54" s="16"/>
      <c r="E54" s="16"/>
      <c r="F54" s="16"/>
      <c r="G54" s="16"/>
      <c r="H54" s="16"/>
      <c r="I54" s="16"/>
      <c r="J54" s="16"/>
      <c r="K54" s="23" t="s">
        <v>41</v>
      </c>
      <c r="L54" s="123"/>
    </row>
    <row r="55" customFormat="false" ht="9" hidden="false" customHeight="true" outlineLevel="0" collapsed="false">
      <c r="D55" s="1"/>
      <c r="E55" s="1"/>
      <c r="K55" s="124"/>
      <c r="L55" s="124"/>
    </row>
    <row r="56" customFormat="false" ht="10.5" hidden="false" customHeight="true" outlineLevel="0" collapsed="false">
      <c r="D56" s="1"/>
      <c r="E56" s="125"/>
    </row>
    <row r="57" customFormat="false" ht="15.75" hidden="false" customHeight="true" outlineLevel="0" collapsed="false">
      <c r="D57" s="1"/>
      <c r="E57" s="1"/>
    </row>
    <row r="58" customFormat="false" ht="15.75" hidden="false" customHeight="true" outlineLevel="0" collapsed="false">
      <c r="D58" s="126"/>
      <c r="E58" s="126"/>
      <c r="F58" s="17"/>
      <c r="G58" s="126"/>
      <c r="H58" s="126"/>
      <c r="I58" s="126"/>
      <c r="J58" s="4"/>
      <c r="K58" s="127"/>
      <c r="L58" s="127"/>
    </row>
    <row r="59" customFormat="false" ht="17.25" hidden="false" customHeight="true" outlineLevel="0" collapsed="false">
      <c r="D59" s="128" t="s">
        <v>42</v>
      </c>
      <c r="E59" s="128"/>
      <c r="F59" s="40"/>
      <c r="G59" s="128" t="s">
        <v>43</v>
      </c>
      <c r="H59" s="128"/>
      <c r="I59" s="128"/>
      <c r="J59" s="129"/>
      <c r="K59" s="128" t="s">
        <v>42</v>
      </c>
      <c r="L59" s="128"/>
    </row>
    <row r="60" customFormat="false" ht="10.5" hidden="false" customHeight="true" outlineLevel="0" collapsed="false">
      <c r="D60" s="130" t="s">
        <v>44</v>
      </c>
      <c r="E60" s="130"/>
      <c r="F60" s="4"/>
      <c r="G60" s="130" t="s">
        <v>45</v>
      </c>
      <c r="H60" s="130"/>
      <c r="I60" s="130"/>
      <c r="J60" s="4"/>
      <c r="K60" s="130" t="s">
        <v>44</v>
      </c>
      <c r="L60" s="130"/>
    </row>
    <row r="61" customFormat="false" ht="15" hidden="false" customHeight="true" outlineLevel="0" collapsed="false">
      <c r="D61" s="12" t="s">
        <v>46</v>
      </c>
      <c r="E61" s="131"/>
      <c r="F61" s="132"/>
      <c r="G61" s="133" t="s">
        <v>46</v>
      </c>
      <c r="H61" s="134" t="n">
        <f aca="false">L61</f>
        <v>0</v>
      </c>
      <c r="I61" s="134"/>
      <c r="J61" s="4"/>
      <c r="K61" s="133" t="s">
        <v>46</v>
      </c>
      <c r="L61" s="135" t="n">
        <f aca="false">K10</f>
        <v>0</v>
      </c>
      <c r="M61" s="25"/>
    </row>
    <row r="62" customFormat="false" ht="12.75" hidden="false" customHeight="false" outlineLevel="0" collapsed="false">
      <c r="E62" s="7"/>
      <c r="F62" s="7"/>
      <c r="H62" s="7"/>
      <c r="J62" s="136"/>
      <c r="L62" s="7"/>
    </row>
  </sheetData>
  <mergeCells count="55">
    <mergeCell ref="D2:E2"/>
    <mergeCell ref="J2:L2"/>
    <mergeCell ref="D3:E3"/>
    <mergeCell ref="J3:L3"/>
    <mergeCell ref="J4:L4"/>
    <mergeCell ref="J8:L8"/>
    <mergeCell ref="E10:H10"/>
    <mergeCell ref="K10:L10"/>
    <mergeCell ref="E11:H11"/>
    <mergeCell ref="E12:H13"/>
    <mergeCell ref="E18:I18"/>
    <mergeCell ref="E19:I19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J46:K46"/>
    <mergeCell ref="J47:K47"/>
    <mergeCell ref="J48:K48"/>
    <mergeCell ref="J49:K49"/>
    <mergeCell ref="D50:I50"/>
    <mergeCell ref="J50:K50"/>
    <mergeCell ref="K53:L53"/>
    <mergeCell ref="D54:J54"/>
    <mergeCell ref="K55:L55"/>
    <mergeCell ref="D58:E58"/>
    <mergeCell ref="G58:I58"/>
    <mergeCell ref="K58:L58"/>
    <mergeCell ref="D59:E59"/>
    <mergeCell ref="G59:I59"/>
    <mergeCell ref="K59:L59"/>
    <mergeCell ref="D60:E60"/>
    <mergeCell ref="G60:I60"/>
    <mergeCell ref="K60:L60"/>
    <mergeCell ref="H61:I61"/>
  </mergeCells>
  <printOptions headings="false" gridLines="false" gridLinesSet="true" horizontalCentered="false" verticalCentered="false"/>
  <pageMargins left="0.157638888888889" right="0" top="0.236111111111111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LibreOffice/26.2.5.2$Linux_X86_64 LibreOffice_project/620$Build-2</Application>
  <AppVersion>15.0000</AppVersion>
  <Company>Stitch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2004-09-08T07:59:39Z</dcterms:created>
  <dc:creator>pla</dc:creator>
  <dc:description/>
  <dc:language>en-US</dc:language>
  <cp:lastModifiedBy/>
  <cp:lastPrinted>2020-07-24T08:31:34Z</cp:lastPrinted>
  <dcterms:modified xsi:type="dcterms:W3CDTF">2026-10-01T00:46:44Z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