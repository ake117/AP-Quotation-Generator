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Clients2021\AP\Quotation_template\"/>
    </mc:Choice>
  </mc:AlternateContent>
  <bookViews>
    <workbookView showHorizontalScroll="0" showVerticalScroll="0" showSheetTabs="0" xWindow="-120" yWindow="-120" windowWidth="29040" windowHeight="15840" tabRatio="455"/>
  </bookViews>
  <sheets>
    <sheet name="Quotation" sheetId="4" r:id="rId1"/>
  </sheets>
  <definedNames>
    <definedName name="_xlnm.Print_Area" localSheetId="0">Quotation!$A$1:$L$61</definedName>
  </definedNames>
  <calcPr calcId="152511"/>
</workbook>
</file>

<file path=xl/calcChain.xml><?xml version="1.0" encoding="utf-8"?>
<calcChain xmlns="http://schemas.openxmlformats.org/spreadsheetml/2006/main">
  <c r="L24" i="4" l="1"/>
  <c r="L46" i="4" s="1"/>
  <c r="L48" i="4" s="1"/>
  <c r="L49" i="4" l="1"/>
  <c r="L50" i="4" s="1"/>
  <c r="L61" i="4"/>
  <c r="H61" i="4" l="1"/>
  <c r="D50" i="4" l="1"/>
</calcChain>
</file>

<file path=xl/sharedStrings.xml><?xml version="1.0" encoding="utf-8"?>
<sst xmlns="http://schemas.openxmlformats.org/spreadsheetml/2006/main" count="53" uniqueCount="48">
  <si>
    <t>วันที่</t>
  </si>
  <si>
    <t>Date</t>
  </si>
  <si>
    <t>ชื่อลูกค้า</t>
  </si>
  <si>
    <t>ที่อยู่</t>
  </si>
  <si>
    <t>Address</t>
  </si>
  <si>
    <t>เลขที่</t>
  </si>
  <si>
    <t>รายการ</t>
  </si>
  <si>
    <t>จำนวน</t>
  </si>
  <si>
    <t>รวม</t>
  </si>
  <si>
    <t>Item No.</t>
  </si>
  <si>
    <t>Description</t>
  </si>
  <si>
    <t>Quantity</t>
  </si>
  <si>
    <t>Unit Price</t>
  </si>
  <si>
    <t>Amount</t>
  </si>
  <si>
    <t>ในนาม บริษัท อีวิท จำกัด</t>
  </si>
  <si>
    <t>For Ewit Co., Ltd.</t>
  </si>
  <si>
    <t>ผู้มีอำนาจลงนาม</t>
  </si>
  <si>
    <t>Authorized Signature</t>
  </si>
  <si>
    <t>วันที่/Date</t>
  </si>
  <si>
    <t>ราคา</t>
  </si>
  <si>
    <t>www.ewitewit.com  info@ewitewit.com</t>
  </si>
  <si>
    <t xml:space="preserve"> รวมมูลค่าสินค้า (Subtotal)</t>
  </si>
  <si>
    <t xml:space="preserve"> ราคาสุทธิ (Net)</t>
  </si>
  <si>
    <t xml:space="preserve"> ภาษีมูลค่าเพิ่ม (Vat)</t>
  </si>
  <si>
    <t xml:space="preserve"> รวมทั้งสิ้น (Grand Total)</t>
  </si>
  <si>
    <t>Quotation No.</t>
  </si>
  <si>
    <t>QUOTATION</t>
  </si>
  <si>
    <t>ใบเสนอราคา</t>
  </si>
  <si>
    <t>We are pleased to send you here with our best quotation as the following.</t>
  </si>
  <si>
    <t>อนุมัติ โดย</t>
  </si>
  <si>
    <t>Customer Name</t>
  </si>
  <si>
    <t xml:space="preserve">Tel.+66 2 632-9858 Fax.+66 2 632-9859  </t>
  </si>
  <si>
    <t>Issue by</t>
  </si>
  <si>
    <t xml:space="preserve"> </t>
  </si>
  <si>
    <t>Payment  Condition:</t>
  </si>
  <si>
    <t>Job No.</t>
  </si>
  <si>
    <t>Accountant</t>
  </si>
  <si>
    <t>ตรวจสอบโดย</t>
  </si>
  <si>
    <t>แผนกบัญชี</t>
  </si>
  <si>
    <t>* บริษัทฯสงวนสิทธิที่จะคิดค่าปรับกรณีชำระหนี้ช้ากว่ากำหนดในอัตรา 1.5% ต่อเดือน</t>
  </si>
  <si>
    <t>บริษัท อีวิท จำกัด(สำนักงานใหญ่)</t>
  </si>
  <si>
    <t>EWIT CO., LTD.(Head office)</t>
  </si>
  <si>
    <t>Credit Term : 30 Days</t>
  </si>
  <si>
    <t xml:space="preserve">52 Thaniya Building 26th Floor #B, Silom Rd., Suriyawongse, Bangrak, Bangkok 10500 </t>
  </si>
  <si>
    <t xml:space="preserve">52  อาคารธนิยะ ชั้น 26 ห้อง C  ถนนสีลม แขวงสุริยวงศ์ เขตบางรัก กรุงเทพฯ  10500 </t>
  </si>
  <si>
    <t>โทร.+66 2 632-9858 แฟกซ์ +66 2 632-9859  เลขประจำตัวผู้เสียภาษี  0105541030420</t>
  </si>
  <si>
    <t>Terdpong Mongsonti</t>
  </si>
  <si>
    <t xml:space="preserve"> คุณสุวิมล ศีลพิพัฒน์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</si>
</sst>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[$-409]d\-mmm\-yy;@"/>
    <numFmt numFmtId="167" formatCode="_-* #,##0.00_-;\-* #,##0.00_-;_-* \-??_-;_-@_-"/>
  </numFmts>
  <fonts count="4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-JS Sangravee"/>
      <charset val="2"/>
    </font>
    <font>
      <sz val="9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9"/>
      <name val="CordiaUPC"/>
      <family val="2"/>
      <charset val="222"/>
    </font>
    <font>
      <b/>
      <sz val="16"/>
      <name val="CordiaUPC"/>
      <family val="2"/>
      <charset val="222"/>
    </font>
    <font>
      <sz val="10"/>
      <name val="CordiaUPC"/>
      <family val="2"/>
      <charset val="222"/>
    </font>
    <font>
      <b/>
      <sz val="12"/>
      <name val="CordiaUPC"/>
      <family val="2"/>
      <charset val="222"/>
    </font>
    <font>
      <b/>
      <sz val="10"/>
      <name val="CordiaUPC"/>
      <family val="2"/>
      <charset val="222"/>
    </font>
    <font>
      <sz val="11"/>
      <name val="CordiaUPC"/>
      <family val="2"/>
      <charset val="222"/>
    </font>
    <font>
      <b/>
      <sz val="14"/>
      <name val="CordiaUPC"/>
      <family val="2"/>
      <charset val="222"/>
    </font>
    <font>
      <b/>
      <sz val="9"/>
      <name val="CordiaUPC"/>
      <family val="2"/>
      <charset val="222"/>
    </font>
    <font>
      <b/>
      <sz val="13"/>
      <name val="CordiaUPC"/>
      <family val="2"/>
      <charset val="22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4"/>
      <name val="CordiaUPC"/>
      <family val="2"/>
      <charset val="222"/>
    </font>
    <font>
      <sz val="12"/>
      <name val="CordiaUPC"/>
      <family val="2"/>
      <charset val="222"/>
    </font>
    <font>
      <sz val="16"/>
      <name val="CordiaUPC"/>
      <family val="2"/>
      <charset val="222"/>
    </font>
    <font>
      <b/>
      <u/>
      <sz val="9"/>
      <name val="CordiaUPC"/>
      <family val="2"/>
      <charset val="222"/>
    </font>
    <font>
      <sz val="13"/>
      <name val="CordiaUPC"/>
      <family val="2"/>
      <charset val="222"/>
    </font>
    <font>
      <b/>
      <sz val="18"/>
      <name val="CordiaUPC"/>
      <family val="2"/>
      <charset val="222"/>
    </font>
    <font>
      <b/>
      <sz val="11"/>
      <name val="CordiaUPC"/>
      <family val="2"/>
      <charset val="222"/>
    </font>
    <font>
      <b/>
      <u/>
      <sz val="14"/>
      <name val="CordiaUPC"/>
      <family val="2"/>
      <charset val="222"/>
    </font>
    <font>
      <b/>
      <sz val="14"/>
      <name val="Cordia New"/>
      <family val="2"/>
    </font>
    <font>
      <sz val="14"/>
      <name val="Cordia New"/>
      <family val="2"/>
    </font>
    <font>
      <sz val="14"/>
      <name val="CordiaUPC"/>
      <family val="2"/>
    </font>
    <font>
      <sz val="13"/>
      <name val="Cordia New"/>
      <family val="2"/>
    </font>
    <font>
      <b/>
      <sz val="14"/>
      <name val="CordiaUPC"/>
      <family val="2"/>
    </font>
    <font>
      <b/>
      <u/>
      <sz val="14"/>
      <name val="CordiaUPC"/>
      <family val="2"/>
    </font>
    <font>
      <i/>
      <sz val="14"/>
      <color rgb="FFFF0000"/>
      <name val="CordiaUPC"/>
      <family val="2"/>
      <charset val="222"/>
    </font>
    <font>
      <b/>
      <sz val="14"/>
      <color theme="1"/>
      <name val="CordiaUPC"/>
      <family val="2"/>
      <charset val="222"/>
    </font>
    <font>
      <b/>
      <u/>
      <sz val="14"/>
      <color rgb="FFFF0000"/>
      <name val="CordiaUPC"/>
      <family val="2"/>
    </font>
    <font>
      <b/>
      <sz val="14"/>
      <color theme="1"/>
      <name val="Cordia New"/>
      <family val="2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22"/>
      <scheme val="minor"/>
    </font>
    <font>
      <sz val="14"/>
      <color rgb="FF000000"/>
      <name val="CordiaUPC"/>
      <family val="2"/>
    </font>
    <font>
      <sz val="14"/>
      <color rgb="FFFF0000"/>
      <name val="CordiaUPC"/>
      <family val="2"/>
    </font>
    <font>
      <sz val="10"/>
      <color rgb="FFFF0000"/>
      <name val="Arial"/>
      <family val="2"/>
    </font>
    <font>
      <sz val="14"/>
      <color rgb="FFFF0000"/>
      <name val="Cordia New"/>
      <family val="2"/>
    </font>
    <font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1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9" fillId="0" borderId="0"/>
    <xf numFmtId="167" fontId="39" fillId="0" borderId="0" applyBorder="0" applyProtection="0"/>
    <xf numFmtId="0" fontId="39" fillId="0" borderId="0"/>
    <xf numFmtId="166" fontId="1" fillId="0" borderId="0"/>
    <xf numFmtId="0" fontId="40" fillId="0" borderId="0"/>
    <xf numFmtId="164" fontId="40" fillId="0" borderId="0" applyFont="0" applyFill="0" applyBorder="0" applyAlignment="0" applyProtection="0"/>
    <xf numFmtId="166" fontId="1" fillId="0" borderId="0"/>
    <xf numFmtId="164" fontId="1" fillId="0" borderId="0" applyFont="0" applyFill="0" applyBorder="0" applyAlignment="0" applyProtection="0"/>
  </cellStyleXfs>
  <cellXfs count="163">
    <xf numFmtId="0" fontId="0" fillId="0" borderId="0" xfId="0"/>
    <xf numFmtId="0" fontId="4" fillId="0" borderId="0" xfId="0" applyFont="1" applyBorder="1" applyAlignment="1">
      <alignment horizontal="center"/>
    </xf>
    <xf numFmtId="0" fontId="18" fillId="0" borderId="0" xfId="0" applyFont="1" applyBorder="1"/>
    <xf numFmtId="0" fontId="8" fillId="0" borderId="0" xfId="0" applyFont="1" applyBorder="1"/>
    <xf numFmtId="0" fontId="18" fillId="2" borderId="0" xfId="0" applyFont="1" applyFill="1"/>
    <xf numFmtId="0" fontId="4" fillId="2" borderId="0" xfId="0" applyFont="1" applyFill="1"/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19" fillId="2" borderId="0" xfId="0" applyFont="1" applyFill="1"/>
    <xf numFmtId="0" fontId="7" fillId="2" borderId="0" xfId="0" applyFont="1" applyFill="1" applyAlignment="1"/>
    <xf numFmtId="0" fontId="30" fillId="2" borderId="0" xfId="0" applyFont="1" applyFill="1" applyAlignment="1">
      <alignment vertical="center"/>
    </xf>
    <xf numFmtId="0" fontId="32" fillId="2" borderId="0" xfId="0" applyFont="1" applyFill="1" applyAlignment="1">
      <alignment vertical="center"/>
    </xf>
    <xf numFmtId="0" fontId="2" fillId="2" borderId="0" xfId="0" applyFont="1" applyFill="1"/>
    <xf numFmtId="0" fontId="11" fillId="2" borderId="0" xfId="0" applyFont="1" applyFill="1"/>
    <xf numFmtId="0" fontId="9" fillId="2" borderId="0" xfId="0" applyFont="1" applyFill="1" applyAlignment="1">
      <alignment horizontal="left" vertical="center"/>
    </xf>
    <xf numFmtId="0" fontId="9" fillId="2" borderId="0" xfId="0" applyFont="1" applyFill="1"/>
    <xf numFmtId="0" fontId="14" fillId="2" borderId="0" xfId="0" applyFont="1" applyFill="1" applyAlignment="1">
      <alignment horizontal="left" vertical="center"/>
    </xf>
    <xf numFmtId="0" fontId="14" fillId="2" borderId="0" xfId="0" applyFont="1" applyFill="1"/>
    <xf numFmtId="0" fontId="27" fillId="2" borderId="0" xfId="0" applyFont="1" applyFill="1"/>
    <xf numFmtId="0" fontId="9" fillId="2" borderId="0" xfId="0" applyFont="1" applyFill="1" applyBorder="1"/>
    <xf numFmtId="0" fontId="4" fillId="2" borderId="0" xfId="0" applyFont="1" applyFill="1" applyBorder="1"/>
    <xf numFmtId="0" fontId="11" fillId="2" borderId="0" xfId="0" applyFont="1" applyFill="1" applyBorder="1"/>
    <xf numFmtId="0" fontId="18" fillId="2" borderId="0" xfId="0" applyFont="1" applyFill="1" applyBorder="1"/>
    <xf numFmtId="0" fontId="15" fillId="2" borderId="0" xfId="0" applyFont="1" applyFill="1" applyBorder="1" applyAlignment="1">
      <alignment horizontal="left" vertical="center"/>
    </xf>
    <xf numFmtId="0" fontId="17" fillId="2" borderId="0" xfId="0" applyFont="1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43" fillId="2" borderId="0" xfId="0" applyFont="1" applyFill="1" applyBorder="1" applyAlignment="1">
      <alignment vertical="center"/>
    </xf>
    <xf numFmtId="0" fontId="27" fillId="2" borderId="0" xfId="0" applyFont="1" applyFill="1" applyBorder="1" applyAlignment="1">
      <alignment horizontal="left" vertical="center"/>
    </xf>
    <xf numFmtId="0" fontId="21" fillId="2" borderId="0" xfId="0" applyFont="1" applyFill="1" applyBorder="1"/>
    <xf numFmtId="0" fontId="25" fillId="2" borderId="0" xfId="0" applyFont="1" applyFill="1"/>
    <xf numFmtId="0" fontId="21" fillId="2" borderId="7" xfId="0" applyFont="1" applyFill="1" applyBorder="1" applyAlignment="1">
      <alignment horizontal="left" vertical="center"/>
    </xf>
    <xf numFmtId="0" fontId="43" fillId="2" borderId="0" xfId="0" applyFont="1" applyFill="1" applyBorder="1"/>
    <xf numFmtId="0" fontId="11" fillId="2" borderId="12" xfId="0" applyFont="1" applyFill="1" applyBorder="1"/>
    <xf numFmtId="1" fontId="2" fillId="2" borderId="0" xfId="0" quotePrefix="1" applyNumberFormat="1" applyFont="1" applyFill="1" applyAlignment="1">
      <alignment horizontal="left"/>
    </xf>
    <xf numFmtId="0" fontId="33" fillId="2" borderId="0" xfId="0" applyFont="1" applyFill="1" applyBorder="1" applyAlignment="1">
      <alignment vertical="top"/>
    </xf>
    <xf numFmtId="0" fontId="25" fillId="2" borderId="0" xfId="0" applyFont="1" applyFill="1" applyBorder="1" applyAlignment="1">
      <alignment vertical="center"/>
    </xf>
    <xf numFmtId="0" fontId="27" fillId="2" borderId="0" xfId="0" applyFont="1" applyFill="1" applyBorder="1" applyAlignment="1">
      <alignment horizontal="left"/>
    </xf>
    <xf numFmtId="0" fontId="27" fillId="2" borderId="0" xfId="0" applyFont="1" applyFill="1" applyBorder="1"/>
    <xf numFmtId="0" fontId="31" fillId="2" borderId="0" xfId="0" applyFont="1" applyFill="1" applyAlignment="1">
      <alignment vertical="center"/>
    </xf>
    <xf numFmtId="44" fontId="17" fillId="2" borderId="0" xfId="3" applyFont="1" applyFill="1" applyBorder="1" applyAlignment="1">
      <alignment vertical="center"/>
    </xf>
    <xf numFmtId="0" fontId="8" fillId="2" borderId="0" xfId="0" applyFont="1" applyFill="1" applyBorder="1"/>
    <xf numFmtId="0" fontId="16" fillId="2" borderId="0" xfId="0" applyFont="1" applyFill="1" applyBorder="1"/>
    <xf numFmtId="0" fontId="17" fillId="2" borderId="0" xfId="0" applyFont="1" applyFill="1" applyAlignment="1">
      <alignment horizontal="left" vertical="center"/>
    </xf>
    <xf numFmtId="0" fontId="11" fillId="2" borderId="0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 readingOrder="2"/>
    </xf>
    <xf numFmtId="0" fontId="27" fillId="2" borderId="1" xfId="0" applyFont="1" applyFill="1" applyBorder="1" applyAlignment="1">
      <alignment vertical="center"/>
    </xf>
    <xf numFmtId="0" fontId="34" fillId="2" borderId="19" xfId="1" applyFont="1" applyFill="1" applyBorder="1" applyAlignment="1" applyProtection="1">
      <alignment vertical="center" wrapText="1"/>
    </xf>
    <xf numFmtId="0" fontId="37" fillId="2" borderId="2" xfId="1" applyFont="1" applyFill="1" applyBorder="1" applyAlignment="1" applyProtection="1">
      <alignment horizontal="left" vertical="center" wrapText="1"/>
    </xf>
    <xf numFmtId="0" fontId="31" fillId="2" borderId="2" xfId="0" applyFont="1" applyFill="1" applyBorder="1" applyAlignment="1">
      <alignment vertical="center"/>
    </xf>
    <xf numFmtId="0" fontId="31" fillId="2" borderId="10" xfId="0" applyFont="1" applyFill="1" applyBorder="1" applyAlignment="1">
      <alignment vertical="center"/>
    </xf>
    <xf numFmtId="43" fontId="30" fillId="2" borderId="8" xfId="2" applyFont="1" applyFill="1" applyBorder="1"/>
    <xf numFmtId="164" fontId="31" fillId="2" borderId="3" xfId="0" applyNumberFormat="1" applyFont="1" applyFill="1" applyBorder="1" applyAlignment="1">
      <alignment vertical="center"/>
    </xf>
    <xf numFmtId="0" fontId="7" fillId="2" borderId="0" xfId="0" applyFont="1" applyFill="1" applyBorder="1" applyAlignment="1"/>
    <xf numFmtId="0" fontId="30" fillId="2" borderId="16" xfId="0" applyFont="1" applyFill="1" applyBorder="1" applyAlignment="1">
      <alignment horizontal="center" vertical="center"/>
    </xf>
    <xf numFmtId="0" fontId="33" fillId="2" borderId="11" xfId="0" applyFont="1" applyFill="1" applyBorder="1" applyAlignment="1">
      <alignment vertical="center"/>
    </xf>
    <xf numFmtId="0" fontId="31" fillId="2" borderId="0" xfId="0" applyFont="1" applyFill="1" applyBorder="1" applyAlignment="1">
      <alignment horizontal="center" vertical="center"/>
    </xf>
    <xf numFmtId="43" fontId="31" fillId="2" borderId="17" xfId="2" applyFont="1" applyFill="1" applyBorder="1" applyAlignment="1">
      <alignment vertical="center"/>
    </xf>
    <xf numFmtId="164" fontId="31" fillId="2" borderId="13" xfId="0" applyNumberFormat="1" applyFont="1" applyFill="1" applyBorder="1" applyAlignment="1">
      <alignment vertical="center"/>
    </xf>
    <xf numFmtId="0" fontId="30" fillId="2" borderId="0" xfId="0" applyFont="1" applyFill="1" applyBorder="1" applyAlignment="1">
      <alignment vertical="center"/>
    </xf>
    <xf numFmtId="4" fontId="31" fillId="2" borderId="17" xfId="6" applyNumberFormat="1" applyFont="1" applyFill="1" applyBorder="1" applyAlignment="1" applyProtection="1">
      <alignment horizontal="right" vertical="center"/>
    </xf>
    <xf numFmtId="0" fontId="44" fillId="2" borderId="0" xfId="0" applyFont="1" applyFill="1" applyBorder="1" applyAlignment="1">
      <alignment vertical="center"/>
    </xf>
    <xf numFmtId="4" fontId="42" fillId="2" borderId="17" xfId="6" applyNumberFormat="1" applyFont="1" applyFill="1" applyBorder="1" applyAlignment="1" applyProtection="1">
      <alignment horizontal="right" vertical="center"/>
    </xf>
    <xf numFmtId="164" fontId="42" fillId="2" borderId="13" xfId="0" applyNumberFormat="1" applyFont="1" applyFill="1" applyBorder="1" applyAlignment="1">
      <alignment horizontal="right" vertical="center"/>
    </xf>
    <xf numFmtId="0" fontId="32" fillId="2" borderId="0" xfId="0" applyFont="1" applyFill="1" applyBorder="1" applyAlignment="1">
      <alignment vertical="center"/>
    </xf>
    <xf numFmtId="0" fontId="29" fillId="2" borderId="11" xfId="0" applyFont="1" applyFill="1" applyBorder="1" applyAlignment="1">
      <alignment vertical="center"/>
    </xf>
    <xf numFmtId="0" fontId="30" fillId="2" borderId="0" xfId="0" applyFont="1" applyFill="1" applyBorder="1" applyAlignment="1">
      <alignment horizontal="center" vertical="center"/>
    </xf>
    <xf numFmtId="43" fontId="30" fillId="2" borderId="17" xfId="2" applyFont="1" applyFill="1" applyBorder="1" applyAlignment="1">
      <alignment vertical="center"/>
    </xf>
    <xf numFmtId="0" fontId="32" fillId="2" borderId="11" xfId="0" applyFont="1" applyFill="1" applyBorder="1" applyAlignment="1">
      <alignment vertical="center"/>
    </xf>
    <xf numFmtId="0" fontId="29" fillId="2" borderId="16" xfId="0" applyFont="1" applyFill="1" applyBorder="1" applyAlignment="1">
      <alignment horizontal="center" vertical="center"/>
    </xf>
    <xf numFmtId="0" fontId="32" fillId="2" borderId="0" xfId="0" applyFont="1" applyFill="1" applyBorder="1" applyAlignment="1">
      <alignment horizontal="center" vertical="center"/>
    </xf>
    <xf numFmtId="43" fontId="32" fillId="2" borderId="17" xfId="2" applyFont="1" applyFill="1" applyBorder="1" applyAlignment="1">
      <alignment vertical="center"/>
    </xf>
    <xf numFmtId="43" fontId="32" fillId="2" borderId="13" xfId="2" applyFont="1" applyFill="1" applyBorder="1" applyAlignment="1">
      <alignment vertical="center"/>
    </xf>
    <xf numFmtId="0" fontId="33" fillId="2" borderId="1" xfId="0" applyFont="1" applyFill="1" applyBorder="1"/>
    <xf numFmtId="0" fontId="11" fillId="2" borderId="2" xfId="0" applyFont="1" applyFill="1" applyBorder="1"/>
    <xf numFmtId="0" fontId="13" fillId="2" borderId="2" xfId="0" applyFont="1" applyFill="1" applyBorder="1"/>
    <xf numFmtId="0" fontId="11" fillId="2" borderId="10" xfId="0" applyFont="1" applyFill="1" applyBorder="1"/>
    <xf numFmtId="164" fontId="21" fillId="2" borderId="3" xfId="2" applyNumberFormat="1" applyFont="1" applyFill="1" applyBorder="1" applyAlignment="1">
      <alignment vertical="center"/>
    </xf>
    <xf numFmtId="0" fontId="44" fillId="2" borderId="0" xfId="0" applyFont="1" applyFill="1" applyBorder="1"/>
    <xf numFmtId="0" fontId="12" fillId="2" borderId="16" xfId="0" quotePrefix="1" applyFont="1" applyFill="1" applyBorder="1" applyAlignment="1"/>
    <xf numFmtId="0" fontId="12" fillId="2" borderId="0" xfId="0" applyFont="1" applyFill="1" applyBorder="1" applyAlignment="1">
      <alignment wrapText="1"/>
    </xf>
    <xf numFmtId="0" fontId="11" fillId="2" borderId="11" xfId="0" applyFont="1" applyFill="1" applyBorder="1"/>
    <xf numFmtId="164" fontId="35" fillId="2" borderId="14" xfId="2" applyNumberFormat="1" applyFont="1" applyFill="1" applyBorder="1" applyAlignment="1">
      <alignment vertical="center"/>
    </xf>
    <xf numFmtId="0" fontId="22" fillId="2" borderId="0" xfId="0" applyFont="1" applyFill="1" applyBorder="1"/>
    <xf numFmtId="164" fontId="21" fillId="2" borderId="13" xfId="2" applyNumberFormat="1" applyFont="1" applyFill="1" applyBorder="1" applyAlignment="1">
      <alignment vertical="center"/>
    </xf>
    <xf numFmtId="0" fontId="22" fillId="2" borderId="16" xfId="0" applyFont="1" applyFill="1" applyBorder="1" applyAlignment="1"/>
    <xf numFmtId="0" fontId="22" fillId="2" borderId="0" xfId="0" applyFont="1" applyFill="1" applyBorder="1" applyAlignment="1"/>
    <xf numFmtId="0" fontId="22" fillId="2" borderId="11" xfId="0" applyFont="1" applyFill="1" applyBorder="1" applyAlignment="1"/>
    <xf numFmtId="164" fontId="21" fillId="2" borderId="14" xfId="2" applyNumberFormat="1" applyFont="1" applyFill="1" applyBorder="1" applyAlignment="1">
      <alignment vertical="center"/>
    </xf>
    <xf numFmtId="0" fontId="36" fillId="2" borderId="16" xfId="0" applyFont="1" applyFill="1" applyBorder="1" applyAlignment="1">
      <alignment horizontal="center" vertical="center"/>
    </xf>
    <xf numFmtId="43" fontId="30" fillId="2" borderId="18" xfId="2" applyFont="1" applyFill="1" applyBorder="1" applyAlignment="1">
      <alignment vertical="center"/>
    </xf>
    <xf numFmtId="4" fontId="10" fillId="2" borderId="6" xfId="2" applyNumberFormat="1" applyFont="1" applyFill="1" applyBorder="1" applyAlignment="1">
      <alignment vertical="center"/>
    </xf>
    <xf numFmtId="0" fontId="24" fillId="2" borderId="0" xfId="0" quotePrefix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left" vertical="center"/>
    </xf>
    <xf numFmtId="43" fontId="10" fillId="2" borderId="0" xfId="2" applyFont="1" applyFill="1" applyBorder="1" applyAlignment="1">
      <alignment vertical="center"/>
    </xf>
    <xf numFmtId="0" fontId="15" fillId="2" borderId="0" xfId="0" applyFont="1" applyFill="1" applyAlignment="1"/>
    <xf numFmtId="0" fontId="22" fillId="2" borderId="0" xfId="0" applyFont="1" applyFill="1" applyAlignment="1"/>
    <xf numFmtId="0" fontId="33" fillId="2" borderId="0" xfId="0" applyFont="1" applyFill="1" applyAlignment="1"/>
    <xf numFmtId="0" fontId="21" fillId="2" borderId="0" xfId="0" applyFont="1" applyFill="1" applyAlignment="1"/>
    <xf numFmtId="0" fontId="2" fillId="2" borderId="0" xfId="0" applyFont="1" applyFill="1" applyBorder="1"/>
    <xf numFmtId="0" fontId="2" fillId="2" borderId="0" xfId="0" applyFont="1" applyFill="1" applyBorder="1" applyAlignment="1">
      <alignment horizontal="right"/>
    </xf>
    <xf numFmtId="0" fontId="17" fillId="2" borderId="0" xfId="0" applyFont="1" applyFill="1" applyAlignment="1">
      <alignment vertical="center"/>
    </xf>
    <xf numFmtId="0" fontId="11" fillId="2" borderId="0" xfId="0" applyFont="1" applyFill="1" applyAlignment="1"/>
    <xf numFmtId="166" fontId="23" fillId="2" borderId="7" xfId="0" applyNumberFormat="1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14" fillId="2" borderId="0" xfId="0" applyFont="1" applyFill="1" applyBorder="1" applyAlignment="1">
      <alignment horizontal="left" vertical="center"/>
    </xf>
    <xf numFmtId="166" fontId="21" fillId="2" borderId="7" xfId="0" applyNumberFormat="1" applyFont="1" applyFill="1" applyBorder="1" applyAlignment="1"/>
    <xf numFmtId="0" fontId="20" fillId="2" borderId="0" xfId="0" applyFont="1" applyFill="1"/>
    <xf numFmtId="0" fontId="3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vertical="center"/>
    </xf>
    <xf numFmtId="0" fontId="19" fillId="2" borderId="0" xfId="0" applyFont="1" applyFill="1" applyBorder="1"/>
    <xf numFmtId="0" fontId="45" fillId="2" borderId="0" xfId="0" applyFont="1" applyFill="1" applyBorder="1"/>
    <xf numFmtId="0" fontId="4" fillId="0" borderId="13" xfId="0" applyFont="1" applyBorder="1" applyAlignment="1">
      <alignment horizontal="center"/>
    </xf>
    <xf numFmtId="0" fontId="29" fillId="3" borderId="11" xfId="0" applyFont="1" applyFill="1" applyBorder="1" applyAlignment="1">
      <alignment vertical="center"/>
    </xf>
    <xf numFmtId="0" fontId="12" fillId="3" borderId="1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3" borderId="8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7" fillId="3" borderId="4" xfId="0" applyFont="1" applyFill="1" applyBorder="1" applyAlignment="1">
      <alignment horizontal="center"/>
    </xf>
    <xf numFmtId="0" fontId="17" fillId="3" borderId="5" xfId="0" applyFont="1" applyFill="1" applyBorder="1" applyAlignment="1">
      <alignment horizontal="center"/>
    </xf>
    <xf numFmtId="0" fontId="17" fillId="3" borderId="9" xfId="0" applyFont="1" applyFill="1" applyBorder="1" applyAlignment="1">
      <alignment horizontal="center"/>
    </xf>
    <xf numFmtId="43" fontId="17" fillId="3" borderId="6" xfId="2" applyFont="1" applyFill="1" applyBorder="1" applyAlignment="1">
      <alignment horizontal="center"/>
    </xf>
    <xf numFmtId="0" fontId="30" fillId="2" borderId="15" xfId="0" applyFont="1" applyFill="1" applyBorder="1" applyAlignment="1">
      <alignment horizontal="left" vertical="center" indent="1"/>
    </xf>
    <xf numFmtId="0" fontId="30" fillId="2" borderId="0" xfId="0" applyFont="1" applyFill="1" applyBorder="1" applyAlignment="1">
      <alignment horizontal="left" vertical="center" indent="1"/>
    </xf>
    <xf numFmtId="0" fontId="31" fillId="2" borderId="0" xfId="0" applyFont="1" applyFill="1" applyBorder="1" applyAlignment="1">
      <alignment horizontal="left" vertical="top" wrapText="1"/>
    </xf>
    <xf numFmtId="165" fontId="21" fillId="2" borderId="7" xfId="0" applyNumberFormat="1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 vertical="top"/>
    </xf>
    <xf numFmtId="0" fontId="27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31" fillId="2" borderId="0" xfId="0" applyFont="1" applyFill="1" applyBorder="1" applyAlignment="1">
      <alignment horizontal="left" vertical="center" wrapText="1"/>
    </xf>
    <xf numFmtId="0" fontId="33" fillId="2" borderId="0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/>
    </xf>
    <xf numFmtId="0" fontId="35" fillId="2" borderId="23" xfId="0" applyFont="1" applyFill="1" applyBorder="1" applyAlignment="1">
      <alignment horizontal="left" vertical="center"/>
    </xf>
    <xf numFmtId="0" fontId="35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17" fillId="2" borderId="0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center"/>
    </xf>
    <xf numFmtId="0" fontId="28" fillId="3" borderId="4" xfId="0" applyFont="1" applyFill="1" applyBorder="1" applyAlignment="1">
      <alignment horizontal="center" vertical="center"/>
    </xf>
    <xf numFmtId="0" fontId="28" fillId="3" borderId="5" xfId="0" applyFont="1" applyFill="1" applyBorder="1" applyAlignment="1">
      <alignment horizontal="center" vertical="center"/>
    </xf>
    <xf numFmtId="0" fontId="28" fillId="3" borderId="22" xfId="0" applyFont="1" applyFill="1" applyBorder="1" applyAlignment="1">
      <alignment horizontal="center" vertical="center"/>
    </xf>
    <xf numFmtId="0" fontId="21" fillId="2" borderId="19" xfId="0" applyFont="1" applyFill="1" applyBorder="1" applyAlignment="1">
      <alignment horizontal="left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 vertical="center"/>
    </xf>
    <xf numFmtId="0" fontId="15" fillId="2" borderId="20" xfId="0" applyFont="1" applyFill="1" applyBorder="1" applyAlignment="1">
      <alignment horizontal="left" vertical="center"/>
    </xf>
    <xf numFmtId="0" fontId="15" fillId="2" borderId="2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/>
    </xf>
    <xf numFmtId="0" fontId="17" fillId="3" borderId="5" xfId="0" applyFont="1" applyFill="1" applyBorder="1" applyAlignment="1">
      <alignment horizontal="center"/>
    </xf>
    <xf numFmtId="0" fontId="17" fillId="3" borderId="22" xfId="0" applyFont="1" applyFill="1" applyBorder="1" applyAlignment="1">
      <alignment horizontal="center"/>
    </xf>
    <xf numFmtId="166" fontId="21" fillId="2" borderId="7" xfId="0" applyNumberFormat="1" applyFont="1" applyFill="1" applyBorder="1" applyAlignment="1">
      <alignment horizontal="center"/>
    </xf>
    <xf numFmtId="0" fontId="11" fillId="2" borderId="0" xfId="0" applyFont="1" applyFill="1" applyBorder="1" applyAlignment="1">
      <alignment horizontal="left"/>
    </xf>
    <xf numFmtId="0" fontId="41" fillId="2" borderId="15" xfId="6" applyFont="1" applyFill="1" applyBorder="1" applyAlignment="1">
      <alignment horizontal="left" vertical="center" wrapText="1"/>
    </xf>
    <xf numFmtId="0" fontId="41" fillId="2" borderId="0" xfId="6" applyFont="1" applyFill="1" applyBorder="1" applyAlignment="1">
      <alignment horizontal="left" vertical="center" wrapText="1"/>
    </xf>
    <xf numFmtId="0" fontId="38" fillId="3" borderId="15" xfId="1" applyFont="1" applyFill="1" applyBorder="1" applyAlignment="1" applyProtection="1">
      <alignment horizontal="left" vertical="center"/>
    </xf>
    <xf numFmtId="0" fontId="38" fillId="3" borderId="0" xfId="1" applyFont="1" applyFill="1" applyBorder="1" applyAlignment="1" applyProtection="1">
      <alignment horizontal="left" vertical="center"/>
    </xf>
  </cellXfs>
  <cellStyles count="12">
    <cellStyle name="Comma" xfId="2" builtinId="3"/>
    <cellStyle name="Comma 2" xfId="9"/>
    <cellStyle name="Comma 3" xfId="5"/>
    <cellStyle name="Comma 4" xfId="11"/>
    <cellStyle name="Currency" xfId="3" builtinId="4"/>
    <cellStyle name="Explanatory Text 2" xfId="6"/>
    <cellStyle name="Hyperlink" xfId="1" builtinId="8"/>
    <cellStyle name="Normal" xfId="0" builtinId="0"/>
    <cellStyle name="Normal 2" xfId="8"/>
    <cellStyle name="Normal 3" xfId="4"/>
    <cellStyle name="Normal 7" xfId="7"/>
    <cellStyle name="Normal 7 2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161925</xdr:colOff>
      <xdr:row>1</xdr:row>
      <xdr:rowOff>0</xdr:rowOff>
    </xdr:from>
    <xdr:to>
      <xdr:col>3</xdr:col>
      <xdr:colOff>238125</xdr:colOff>
      <xdr:row>1</xdr:row>
      <xdr:rowOff>200025</xdr:rowOff>
    </xdr:to>
    <xdr:sp macro="" textlink="">
      <xdr:nvSpPr>
        <xdr:cNvPr id="668992" name="Text Box 1">
          <a:extLst>
            <a:ext uri="{FF2B5EF4-FFF2-40B4-BE49-F238E27FC236}">
              <a16:creationId xmlns="" xmlns:a16="http://schemas.microsoft.com/office/drawing/2014/main" id="{00000000-0008-0000-0000-000040350A00}"/>
            </a:ext>
          </a:extLst>
        </xdr:cNvPr>
        <xdr:cNvSpPr txBox="1">
          <a:spLocks noChangeArrowheads="1"/>
        </xdr:cNvSpPr>
      </xdr:nvSpPr>
      <xdr:spPr bwMode="auto">
        <a:xfrm>
          <a:off x="1333500" y="76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1</xdr:row>
      <xdr:rowOff>0</xdr:rowOff>
    </xdr:from>
    <xdr:to>
      <xdr:col>3</xdr:col>
      <xdr:colOff>266700</xdr:colOff>
      <xdr:row>1</xdr:row>
      <xdr:rowOff>200025</xdr:rowOff>
    </xdr:to>
    <xdr:sp macro="" textlink="">
      <xdr:nvSpPr>
        <xdr:cNvPr id="668993" name="Text Box 2">
          <a:extLst>
            <a:ext uri="{FF2B5EF4-FFF2-40B4-BE49-F238E27FC236}">
              <a16:creationId xmlns="" xmlns:a16="http://schemas.microsoft.com/office/drawing/2014/main" id="{00000000-0008-0000-0000-000041350A00}"/>
            </a:ext>
          </a:extLst>
        </xdr:cNvPr>
        <xdr:cNvSpPr txBox="1">
          <a:spLocks noChangeArrowheads="1"/>
        </xdr:cNvSpPr>
      </xdr:nvSpPr>
      <xdr:spPr bwMode="auto">
        <a:xfrm>
          <a:off x="1362075" y="76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1</xdr:row>
      <xdr:rowOff>0</xdr:rowOff>
    </xdr:from>
    <xdr:to>
      <xdr:col>3</xdr:col>
      <xdr:colOff>238125</xdr:colOff>
      <xdr:row>1</xdr:row>
      <xdr:rowOff>200025</xdr:rowOff>
    </xdr:to>
    <xdr:sp macro="" textlink="">
      <xdr:nvSpPr>
        <xdr:cNvPr id="668994" name="Text Box 3">
          <a:extLst>
            <a:ext uri="{FF2B5EF4-FFF2-40B4-BE49-F238E27FC236}">
              <a16:creationId xmlns="" xmlns:a16="http://schemas.microsoft.com/office/drawing/2014/main" id="{00000000-0008-0000-0000-000042350A00}"/>
            </a:ext>
          </a:extLst>
        </xdr:cNvPr>
        <xdr:cNvSpPr txBox="1">
          <a:spLocks noChangeArrowheads="1"/>
        </xdr:cNvSpPr>
      </xdr:nvSpPr>
      <xdr:spPr bwMode="auto">
        <a:xfrm>
          <a:off x="1333500" y="76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1</xdr:row>
      <xdr:rowOff>0</xdr:rowOff>
    </xdr:from>
    <xdr:to>
      <xdr:col>3</xdr:col>
      <xdr:colOff>266700</xdr:colOff>
      <xdr:row>1</xdr:row>
      <xdr:rowOff>200025</xdr:rowOff>
    </xdr:to>
    <xdr:sp macro="" textlink="">
      <xdr:nvSpPr>
        <xdr:cNvPr id="668995" name="Text Box 4">
          <a:extLst>
            <a:ext uri="{FF2B5EF4-FFF2-40B4-BE49-F238E27FC236}">
              <a16:creationId xmlns="" xmlns:a16="http://schemas.microsoft.com/office/drawing/2014/main" id="{00000000-0008-0000-0000-000043350A00}"/>
            </a:ext>
          </a:extLst>
        </xdr:cNvPr>
        <xdr:cNvSpPr txBox="1">
          <a:spLocks noChangeArrowheads="1"/>
        </xdr:cNvSpPr>
      </xdr:nvSpPr>
      <xdr:spPr bwMode="auto">
        <a:xfrm>
          <a:off x="1362075" y="76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1</xdr:row>
      <xdr:rowOff>0</xdr:rowOff>
    </xdr:from>
    <xdr:to>
      <xdr:col>3</xdr:col>
      <xdr:colOff>238125</xdr:colOff>
      <xdr:row>1</xdr:row>
      <xdr:rowOff>200025</xdr:rowOff>
    </xdr:to>
    <xdr:sp macro="" textlink="">
      <xdr:nvSpPr>
        <xdr:cNvPr id="668996" name="Text Box 5">
          <a:extLst>
            <a:ext uri="{FF2B5EF4-FFF2-40B4-BE49-F238E27FC236}">
              <a16:creationId xmlns="" xmlns:a16="http://schemas.microsoft.com/office/drawing/2014/main" id="{00000000-0008-0000-0000-000044350A00}"/>
            </a:ext>
          </a:extLst>
        </xdr:cNvPr>
        <xdr:cNvSpPr txBox="1">
          <a:spLocks noChangeArrowheads="1"/>
        </xdr:cNvSpPr>
      </xdr:nvSpPr>
      <xdr:spPr bwMode="auto">
        <a:xfrm>
          <a:off x="1333500" y="76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1</xdr:row>
      <xdr:rowOff>0</xdr:rowOff>
    </xdr:from>
    <xdr:to>
      <xdr:col>3</xdr:col>
      <xdr:colOff>266700</xdr:colOff>
      <xdr:row>1</xdr:row>
      <xdr:rowOff>200025</xdr:rowOff>
    </xdr:to>
    <xdr:sp macro="" textlink="">
      <xdr:nvSpPr>
        <xdr:cNvPr id="668997" name="Text Box 6">
          <a:extLst>
            <a:ext uri="{FF2B5EF4-FFF2-40B4-BE49-F238E27FC236}">
              <a16:creationId xmlns="" xmlns:a16="http://schemas.microsoft.com/office/drawing/2014/main" id="{00000000-0008-0000-0000-000045350A00}"/>
            </a:ext>
          </a:extLst>
        </xdr:cNvPr>
        <xdr:cNvSpPr txBox="1">
          <a:spLocks noChangeArrowheads="1"/>
        </xdr:cNvSpPr>
      </xdr:nvSpPr>
      <xdr:spPr bwMode="auto">
        <a:xfrm>
          <a:off x="1362075" y="76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1</xdr:row>
      <xdr:rowOff>0</xdr:rowOff>
    </xdr:from>
    <xdr:to>
      <xdr:col>3</xdr:col>
      <xdr:colOff>238125</xdr:colOff>
      <xdr:row>1</xdr:row>
      <xdr:rowOff>200025</xdr:rowOff>
    </xdr:to>
    <xdr:sp macro="" textlink="">
      <xdr:nvSpPr>
        <xdr:cNvPr id="668998" name="Text Box 7">
          <a:extLst>
            <a:ext uri="{FF2B5EF4-FFF2-40B4-BE49-F238E27FC236}">
              <a16:creationId xmlns="" xmlns:a16="http://schemas.microsoft.com/office/drawing/2014/main" id="{00000000-0008-0000-0000-000046350A00}"/>
            </a:ext>
          </a:extLst>
        </xdr:cNvPr>
        <xdr:cNvSpPr txBox="1">
          <a:spLocks noChangeArrowheads="1"/>
        </xdr:cNvSpPr>
      </xdr:nvSpPr>
      <xdr:spPr bwMode="auto">
        <a:xfrm>
          <a:off x="1333500" y="76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1</xdr:row>
      <xdr:rowOff>0</xdr:rowOff>
    </xdr:from>
    <xdr:to>
      <xdr:col>3</xdr:col>
      <xdr:colOff>238125</xdr:colOff>
      <xdr:row>1</xdr:row>
      <xdr:rowOff>200025</xdr:rowOff>
    </xdr:to>
    <xdr:sp macro="" textlink="">
      <xdr:nvSpPr>
        <xdr:cNvPr id="668999" name="Text Box 8">
          <a:extLst>
            <a:ext uri="{FF2B5EF4-FFF2-40B4-BE49-F238E27FC236}">
              <a16:creationId xmlns="" xmlns:a16="http://schemas.microsoft.com/office/drawing/2014/main" id="{00000000-0008-0000-0000-000047350A00}"/>
            </a:ext>
          </a:extLst>
        </xdr:cNvPr>
        <xdr:cNvSpPr txBox="1">
          <a:spLocks noChangeArrowheads="1"/>
        </xdr:cNvSpPr>
      </xdr:nvSpPr>
      <xdr:spPr bwMode="auto">
        <a:xfrm>
          <a:off x="1333500" y="76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1</xdr:row>
      <xdr:rowOff>0</xdr:rowOff>
    </xdr:from>
    <xdr:to>
      <xdr:col>3</xdr:col>
      <xdr:colOff>266700</xdr:colOff>
      <xdr:row>1</xdr:row>
      <xdr:rowOff>200025</xdr:rowOff>
    </xdr:to>
    <xdr:sp macro="" textlink="">
      <xdr:nvSpPr>
        <xdr:cNvPr id="669000" name="Text Box 9">
          <a:extLst>
            <a:ext uri="{FF2B5EF4-FFF2-40B4-BE49-F238E27FC236}">
              <a16:creationId xmlns="" xmlns:a16="http://schemas.microsoft.com/office/drawing/2014/main" id="{00000000-0008-0000-0000-000048350A00}"/>
            </a:ext>
          </a:extLst>
        </xdr:cNvPr>
        <xdr:cNvSpPr txBox="1">
          <a:spLocks noChangeArrowheads="1"/>
        </xdr:cNvSpPr>
      </xdr:nvSpPr>
      <xdr:spPr bwMode="auto">
        <a:xfrm>
          <a:off x="1362075" y="76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1</xdr:row>
      <xdr:rowOff>0</xdr:rowOff>
    </xdr:from>
    <xdr:to>
      <xdr:col>3</xdr:col>
      <xdr:colOff>238125</xdr:colOff>
      <xdr:row>1</xdr:row>
      <xdr:rowOff>200025</xdr:rowOff>
    </xdr:to>
    <xdr:sp macro="" textlink="">
      <xdr:nvSpPr>
        <xdr:cNvPr id="669001" name="Text Box 10">
          <a:extLst>
            <a:ext uri="{FF2B5EF4-FFF2-40B4-BE49-F238E27FC236}">
              <a16:creationId xmlns="" xmlns:a16="http://schemas.microsoft.com/office/drawing/2014/main" id="{00000000-0008-0000-0000-000049350A00}"/>
            </a:ext>
          </a:extLst>
        </xdr:cNvPr>
        <xdr:cNvSpPr txBox="1">
          <a:spLocks noChangeArrowheads="1"/>
        </xdr:cNvSpPr>
      </xdr:nvSpPr>
      <xdr:spPr bwMode="auto">
        <a:xfrm>
          <a:off x="1333500" y="76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1</xdr:row>
      <xdr:rowOff>0</xdr:rowOff>
    </xdr:from>
    <xdr:to>
      <xdr:col>3</xdr:col>
      <xdr:colOff>266700</xdr:colOff>
      <xdr:row>1</xdr:row>
      <xdr:rowOff>200025</xdr:rowOff>
    </xdr:to>
    <xdr:sp macro="" textlink="">
      <xdr:nvSpPr>
        <xdr:cNvPr id="669002" name="Text Box 11">
          <a:extLst>
            <a:ext uri="{FF2B5EF4-FFF2-40B4-BE49-F238E27FC236}">
              <a16:creationId xmlns="" xmlns:a16="http://schemas.microsoft.com/office/drawing/2014/main" id="{00000000-0008-0000-0000-00004A350A00}"/>
            </a:ext>
          </a:extLst>
        </xdr:cNvPr>
        <xdr:cNvSpPr txBox="1">
          <a:spLocks noChangeArrowheads="1"/>
        </xdr:cNvSpPr>
      </xdr:nvSpPr>
      <xdr:spPr bwMode="auto">
        <a:xfrm>
          <a:off x="1362075" y="76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1</xdr:row>
      <xdr:rowOff>0</xdr:rowOff>
    </xdr:from>
    <xdr:to>
      <xdr:col>3</xdr:col>
      <xdr:colOff>238125</xdr:colOff>
      <xdr:row>1</xdr:row>
      <xdr:rowOff>200025</xdr:rowOff>
    </xdr:to>
    <xdr:sp macro="" textlink="">
      <xdr:nvSpPr>
        <xdr:cNvPr id="669003" name="Text Box 12">
          <a:extLst>
            <a:ext uri="{FF2B5EF4-FFF2-40B4-BE49-F238E27FC236}">
              <a16:creationId xmlns="" xmlns:a16="http://schemas.microsoft.com/office/drawing/2014/main" id="{00000000-0008-0000-0000-00004B350A00}"/>
            </a:ext>
          </a:extLst>
        </xdr:cNvPr>
        <xdr:cNvSpPr txBox="1">
          <a:spLocks noChangeArrowheads="1"/>
        </xdr:cNvSpPr>
      </xdr:nvSpPr>
      <xdr:spPr bwMode="auto">
        <a:xfrm>
          <a:off x="1333500" y="76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1</xdr:row>
      <xdr:rowOff>0</xdr:rowOff>
    </xdr:from>
    <xdr:to>
      <xdr:col>3</xdr:col>
      <xdr:colOff>238125</xdr:colOff>
      <xdr:row>1</xdr:row>
      <xdr:rowOff>200025</xdr:rowOff>
    </xdr:to>
    <xdr:sp macro="" textlink="">
      <xdr:nvSpPr>
        <xdr:cNvPr id="669004" name="Text Box 13">
          <a:extLst>
            <a:ext uri="{FF2B5EF4-FFF2-40B4-BE49-F238E27FC236}">
              <a16:creationId xmlns="" xmlns:a16="http://schemas.microsoft.com/office/drawing/2014/main" id="{00000000-0008-0000-0000-00004C350A00}"/>
            </a:ext>
          </a:extLst>
        </xdr:cNvPr>
        <xdr:cNvSpPr txBox="1">
          <a:spLocks noChangeArrowheads="1"/>
        </xdr:cNvSpPr>
      </xdr:nvSpPr>
      <xdr:spPr bwMode="auto">
        <a:xfrm>
          <a:off x="1333500" y="76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1</xdr:row>
      <xdr:rowOff>0</xdr:rowOff>
    </xdr:from>
    <xdr:to>
      <xdr:col>3</xdr:col>
      <xdr:colOff>266700</xdr:colOff>
      <xdr:row>1</xdr:row>
      <xdr:rowOff>200025</xdr:rowOff>
    </xdr:to>
    <xdr:sp macro="" textlink="">
      <xdr:nvSpPr>
        <xdr:cNvPr id="669005" name="Text Box 14">
          <a:extLst>
            <a:ext uri="{FF2B5EF4-FFF2-40B4-BE49-F238E27FC236}">
              <a16:creationId xmlns="" xmlns:a16="http://schemas.microsoft.com/office/drawing/2014/main" id="{00000000-0008-0000-0000-00004D350A00}"/>
            </a:ext>
          </a:extLst>
        </xdr:cNvPr>
        <xdr:cNvSpPr txBox="1">
          <a:spLocks noChangeArrowheads="1"/>
        </xdr:cNvSpPr>
      </xdr:nvSpPr>
      <xdr:spPr bwMode="auto">
        <a:xfrm>
          <a:off x="1362075" y="76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1</xdr:row>
      <xdr:rowOff>0</xdr:rowOff>
    </xdr:from>
    <xdr:to>
      <xdr:col>3</xdr:col>
      <xdr:colOff>238125</xdr:colOff>
      <xdr:row>1</xdr:row>
      <xdr:rowOff>200025</xdr:rowOff>
    </xdr:to>
    <xdr:sp macro="" textlink="">
      <xdr:nvSpPr>
        <xdr:cNvPr id="669006" name="Text Box 15">
          <a:extLst>
            <a:ext uri="{FF2B5EF4-FFF2-40B4-BE49-F238E27FC236}">
              <a16:creationId xmlns="" xmlns:a16="http://schemas.microsoft.com/office/drawing/2014/main" id="{00000000-0008-0000-0000-00004E350A00}"/>
            </a:ext>
          </a:extLst>
        </xdr:cNvPr>
        <xdr:cNvSpPr txBox="1">
          <a:spLocks noChangeArrowheads="1"/>
        </xdr:cNvSpPr>
      </xdr:nvSpPr>
      <xdr:spPr bwMode="auto">
        <a:xfrm>
          <a:off x="1333500" y="76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1</xdr:row>
      <xdr:rowOff>0</xdr:rowOff>
    </xdr:from>
    <xdr:to>
      <xdr:col>3</xdr:col>
      <xdr:colOff>266700</xdr:colOff>
      <xdr:row>1</xdr:row>
      <xdr:rowOff>200025</xdr:rowOff>
    </xdr:to>
    <xdr:sp macro="" textlink="">
      <xdr:nvSpPr>
        <xdr:cNvPr id="669007" name="Text Box 16">
          <a:extLst>
            <a:ext uri="{FF2B5EF4-FFF2-40B4-BE49-F238E27FC236}">
              <a16:creationId xmlns="" xmlns:a16="http://schemas.microsoft.com/office/drawing/2014/main" id="{00000000-0008-0000-0000-00004F350A00}"/>
            </a:ext>
          </a:extLst>
        </xdr:cNvPr>
        <xdr:cNvSpPr txBox="1">
          <a:spLocks noChangeArrowheads="1"/>
        </xdr:cNvSpPr>
      </xdr:nvSpPr>
      <xdr:spPr bwMode="auto">
        <a:xfrm>
          <a:off x="1362075" y="76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1</xdr:row>
      <xdr:rowOff>0</xdr:rowOff>
    </xdr:from>
    <xdr:to>
      <xdr:col>3</xdr:col>
      <xdr:colOff>238125</xdr:colOff>
      <xdr:row>1</xdr:row>
      <xdr:rowOff>200025</xdr:rowOff>
    </xdr:to>
    <xdr:sp macro="" textlink="">
      <xdr:nvSpPr>
        <xdr:cNvPr id="669008" name="Text Box 17">
          <a:extLst>
            <a:ext uri="{FF2B5EF4-FFF2-40B4-BE49-F238E27FC236}">
              <a16:creationId xmlns="" xmlns:a16="http://schemas.microsoft.com/office/drawing/2014/main" id="{00000000-0008-0000-0000-000050350A00}"/>
            </a:ext>
          </a:extLst>
        </xdr:cNvPr>
        <xdr:cNvSpPr txBox="1">
          <a:spLocks noChangeArrowheads="1"/>
        </xdr:cNvSpPr>
      </xdr:nvSpPr>
      <xdr:spPr bwMode="auto">
        <a:xfrm>
          <a:off x="1333500" y="76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1</xdr:row>
      <xdr:rowOff>0</xdr:rowOff>
    </xdr:from>
    <xdr:to>
      <xdr:col>3</xdr:col>
      <xdr:colOff>266700</xdr:colOff>
      <xdr:row>1</xdr:row>
      <xdr:rowOff>200025</xdr:rowOff>
    </xdr:to>
    <xdr:sp macro="" textlink="">
      <xdr:nvSpPr>
        <xdr:cNvPr id="669009" name="Text Box 18">
          <a:extLst>
            <a:ext uri="{FF2B5EF4-FFF2-40B4-BE49-F238E27FC236}">
              <a16:creationId xmlns="" xmlns:a16="http://schemas.microsoft.com/office/drawing/2014/main" id="{00000000-0008-0000-0000-000051350A00}"/>
            </a:ext>
          </a:extLst>
        </xdr:cNvPr>
        <xdr:cNvSpPr txBox="1">
          <a:spLocks noChangeArrowheads="1"/>
        </xdr:cNvSpPr>
      </xdr:nvSpPr>
      <xdr:spPr bwMode="auto">
        <a:xfrm>
          <a:off x="1362075" y="76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1</xdr:row>
      <xdr:rowOff>0</xdr:rowOff>
    </xdr:from>
    <xdr:to>
      <xdr:col>3</xdr:col>
      <xdr:colOff>238125</xdr:colOff>
      <xdr:row>1</xdr:row>
      <xdr:rowOff>200025</xdr:rowOff>
    </xdr:to>
    <xdr:sp macro="" textlink="">
      <xdr:nvSpPr>
        <xdr:cNvPr id="669010" name="Text Box 19">
          <a:extLst>
            <a:ext uri="{FF2B5EF4-FFF2-40B4-BE49-F238E27FC236}">
              <a16:creationId xmlns="" xmlns:a16="http://schemas.microsoft.com/office/drawing/2014/main" id="{00000000-0008-0000-0000-000052350A00}"/>
            </a:ext>
          </a:extLst>
        </xdr:cNvPr>
        <xdr:cNvSpPr txBox="1">
          <a:spLocks noChangeArrowheads="1"/>
        </xdr:cNvSpPr>
      </xdr:nvSpPr>
      <xdr:spPr bwMode="auto">
        <a:xfrm>
          <a:off x="1333500" y="76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1</xdr:row>
      <xdr:rowOff>0</xdr:rowOff>
    </xdr:from>
    <xdr:to>
      <xdr:col>3</xdr:col>
      <xdr:colOff>238125</xdr:colOff>
      <xdr:row>1</xdr:row>
      <xdr:rowOff>200025</xdr:rowOff>
    </xdr:to>
    <xdr:sp macro="" textlink="">
      <xdr:nvSpPr>
        <xdr:cNvPr id="669011" name="Text Box 20">
          <a:extLst>
            <a:ext uri="{FF2B5EF4-FFF2-40B4-BE49-F238E27FC236}">
              <a16:creationId xmlns="" xmlns:a16="http://schemas.microsoft.com/office/drawing/2014/main" id="{00000000-0008-0000-0000-000053350A00}"/>
            </a:ext>
          </a:extLst>
        </xdr:cNvPr>
        <xdr:cNvSpPr txBox="1">
          <a:spLocks noChangeArrowheads="1"/>
        </xdr:cNvSpPr>
      </xdr:nvSpPr>
      <xdr:spPr bwMode="auto">
        <a:xfrm>
          <a:off x="1333500" y="76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1</xdr:row>
      <xdr:rowOff>0</xdr:rowOff>
    </xdr:from>
    <xdr:to>
      <xdr:col>3</xdr:col>
      <xdr:colOff>266700</xdr:colOff>
      <xdr:row>1</xdr:row>
      <xdr:rowOff>200025</xdr:rowOff>
    </xdr:to>
    <xdr:sp macro="" textlink="">
      <xdr:nvSpPr>
        <xdr:cNvPr id="669012" name="Text Box 21">
          <a:extLst>
            <a:ext uri="{FF2B5EF4-FFF2-40B4-BE49-F238E27FC236}">
              <a16:creationId xmlns="" xmlns:a16="http://schemas.microsoft.com/office/drawing/2014/main" id="{00000000-0008-0000-0000-000054350A00}"/>
            </a:ext>
          </a:extLst>
        </xdr:cNvPr>
        <xdr:cNvSpPr txBox="1">
          <a:spLocks noChangeArrowheads="1"/>
        </xdr:cNvSpPr>
      </xdr:nvSpPr>
      <xdr:spPr bwMode="auto">
        <a:xfrm>
          <a:off x="1362075" y="76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1</xdr:row>
      <xdr:rowOff>0</xdr:rowOff>
    </xdr:from>
    <xdr:to>
      <xdr:col>3</xdr:col>
      <xdr:colOff>238125</xdr:colOff>
      <xdr:row>1</xdr:row>
      <xdr:rowOff>200025</xdr:rowOff>
    </xdr:to>
    <xdr:sp macro="" textlink="">
      <xdr:nvSpPr>
        <xdr:cNvPr id="669013" name="Text Box 22">
          <a:extLst>
            <a:ext uri="{FF2B5EF4-FFF2-40B4-BE49-F238E27FC236}">
              <a16:creationId xmlns="" xmlns:a16="http://schemas.microsoft.com/office/drawing/2014/main" id="{00000000-0008-0000-0000-000055350A00}"/>
            </a:ext>
          </a:extLst>
        </xdr:cNvPr>
        <xdr:cNvSpPr txBox="1">
          <a:spLocks noChangeArrowheads="1"/>
        </xdr:cNvSpPr>
      </xdr:nvSpPr>
      <xdr:spPr bwMode="auto">
        <a:xfrm>
          <a:off x="1333500" y="76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1</xdr:row>
      <xdr:rowOff>0</xdr:rowOff>
    </xdr:from>
    <xdr:to>
      <xdr:col>3</xdr:col>
      <xdr:colOff>266700</xdr:colOff>
      <xdr:row>1</xdr:row>
      <xdr:rowOff>200025</xdr:rowOff>
    </xdr:to>
    <xdr:sp macro="" textlink="">
      <xdr:nvSpPr>
        <xdr:cNvPr id="669014" name="Text Box 23">
          <a:extLst>
            <a:ext uri="{FF2B5EF4-FFF2-40B4-BE49-F238E27FC236}">
              <a16:creationId xmlns="" xmlns:a16="http://schemas.microsoft.com/office/drawing/2014/main" id="{00000000-0008-0000-0000-000056350A00}"/>
            </a:ext>
          </a:extLst>
        </xdr:cNvPr>
        <xdr:cNvSpPr txBox="1">
          <a:spLocks noChangeArrowheads="1"/>
        </xdr:cNvSpPr>
      </xdr:nvSpPr>
      <xdr:spPr bwMode="auto">
        <a:xfrm>
          <a:off x="1362075" y="76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1</xdr:row>
      <xdr:rowOff>0</xdr:rowOff>
    </xdr:from>
    <xdr:to>
      <xdr:col>3</xdr:col>
      <xdr:colOff>238125</xdr:colOff>
      <xdr:row>1</xdr:row>
      <xdr:rowOff>200025</xdr:rowOff>
    </xdr:to>
    <xdr:sp macro="" textlink="">
      <xdr:nvSpPr>
        <xdr:cNvPr id="669015" name="Text Box 24">
          <a:extLst>
            <a:ext uri="{FF2B5EF4-FFF2-40B4-BE49-F238E27FC236}">
              <a16:creationId xmlns="" xmlns:a16="http://schemas.microsoft.com/office/drawing/2014/main" id="{00000000-0008-0000-0000-000057350A00}"/>
            </a:ext>
          </a:extLst>
        </xdr:cNvPr>
        <xdr:cNvSpPr txBox="1">
          <a:spLocks noChangeArrowheads="1"/>
        </xdr:cNvSpPr>
      </xdr:nvSpPr>
      <xdr:spPr bwMode="auto">
        <a:xfrm>
          <a:off x="1333500" y="76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2</xdr:row>
      <xdr:rowOff>0</xdr:rowOff>
    </xdr:from>
    <xdr:to>
      <xdr:col>3</xdr:col>
      <xdr:colOff>238125</xdr:colOff>
      <xdr:row>2</xdr:row>
      <xdr:rowOff>200025</xdr:rowOff>
    </xdr:to>
    <xdr:sp macro="" textlink="">
      <xdr:nvSpPr>
        <xdr:cNvPr id="669016" name="Text Box 107">
          <a:extLst>
            <a:ext uri="{FF2B5EF4-FFF2-40B4-BE49-F238E27FC236}">
              <a16:creationId xmlns="" xmlns:a16="http://schemas.microsoft.com/office/drawing/2014/main" id="{00000000-0008-0000-0000-000058350A00}"/>
            </a:ext>
          </a:extLst>
        </xdr:cNvPr>
        <xdr:cNvSpPr txBox="1">
          <a:spLocks noChangeArrowheads="1"/>
        </xdr:cNvSpPr>
      </xdr:nvSpPr>
      <xdr:spPr bwMode="auto">
        <a:xfrm>
          <a:off x="1333500" y="28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2</xdr:row>
      <xdr:rowOff>0</xdr:rowOff>
    </xdr:from>
    <xdr:to>
      <xdr:col>3</xdr:col>
      <xdr:colOff>266700</xdr:colOff>
      <xdr:row>2</xdr:row>
      <xdr:rowOff>200025</xdr:rowOff>
    </xdr:to>
    <xdr:sp macro="" textlink="">
      <xdr:nvSpPr>
        <xdr:cNvPr id="669017" name="Text Box 108">
          <a:extLst>
            <a:ext uri="{FF2B5EF4-FFF2-40B4-BE49-F238E27FC236}">
              <a16:creationId xmlns="" xmlns:a16="http://schemas.microsoft.com/office/drawing/2014/main" id="{00000000-0008-0000-0000-000059350A00}"/>
            </a:ext>
          </a:extLst>
        </xdr:cNvPr>
        <xdr:cNvSpPr txBox="1">
          <a:spLocks noChangeArrowheads="1"/>
        </xdr:cNvSpPr>
      </xdr:nvSpPr>
      <xdr:spPr bwMode="auto">
        <a:xfrm>
          <a:off x="1362075" y="28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2</xdr:row>
      <xdr:rowOff>0</xdr:rowOff>
    </xdr:from>
    <xdr:to>
      <xdr:col>3</xdr:col>
      <xdr:colOff>238125</xdr:colOff>
      <xdr:row>2</xdr:row>
      <xdr:rowOff>200025</xdr:rowOff>
    </xdr:to>
    <xdr:sp macro="" textlink="">
      <xdr:nvSpPr>
        <xdr:cNvPr id="669018" name="Text Box 109">
          <a:extLst>
            <a:ext uri="{FF2B5EF4-FFF2-40B4-BE49-F238E27FC236}">
              <a16:creationId xmlns="" xmlns:a16="http://schemas.microsoft.com/office/drawing/2014/main" id="{00000000-0008-0000-0000-00005A350A00}"/>
            </a:ext>
          </a:extLst>
        </xdr:cNvPr>
        <xdr:cNvSpPr txBox="1">
          <a:spLocks noChangeArrowheads="1"/>
        </xdr:cNvSpPr>
      </xdr:nvSpPr>
      <xdr:spPr bwMode="auto">
        <a:xfrm>
          <a:off x="1333500" y="28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2</xdr:row>
      <xdr:rowOff>0</xdr:rowOff>
    </xdr:from>
    <xdr:to>
      <xdr:col>3</xdr:col>
      <xdr:colOff>266700</xdr:colOff>
      <xdr:row>2</xdr:row>
      <xdr:rowOff>200025</xdr:rowOff>
    </xdr:to>
    <xdr:sp macro="" textlink="">
      <xdr:nvSpPr>
        <xdr:cNvPr id="669019" name="Text Box 110">
          <a:extLst>
            <a:ext uri="{FF2B5EF4-FFF2-40B4-BE49-F238E27FC236}">
              <a16:creationId xmlns="" xmlns:a16="http://schemas.microsoft.com/office/drawing/2014/main" id="{00000000-0008-0000-0000-00005B350A00}"/>
            </a:ext>
          </a:extLst>
        </xdr:cNvPr>
        <xdr:cNvSpPr txBox="1">
          <a:spLocks noChangeArrowheads="1"/>
        </xdr:cNvSpPr>
      </xdr:nvSpPr>
      <xdr:spPr bwMode="auto">
        <a:xfrm>
          <a:off x="1362075" y="28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2</xdr:row>
      <xdr:rowOff>0</xdr:rowOff>
    </xdr:from>
    <xdr:to>
      <xdr:col>3</xdr:col>
      <xdr:colOff>238125</xdr:colOff>
      <xdr:row>2</xdr:row>
      <xdr:rowOff>200025</xdr:rowOff>
    </xdr:to>
    <xdr:sp macro="" textlink="">
      <xdr:nvSpPr>
        <xdr:cNvPr id="669020" name="Text Box 111">
          <a:extLst>
            <a:ext uri="{FF2B5EF4-FFF2-40B4-BE49-F238E27FC236}">
              <a16:creationId xmlns="" xmlns:a16="http://schemas.microsoft.com/office/drawing/2014/main" id="{00000000-0008-0000-0000-00005C350A00}"/>
            </a:ext>
          </a:extLst>
        </xdr:cNvPr>
        <xdr:cNvSpPr txBox="1">
          <a:spLocks noChangeArrowheads="1"/>
        </xdr:cNvSpPr>
      </xdr:nvSpPr>
      <xdr:spPr bwMode="auto">
        <a:xfrm>
          <a:off x="1333500" y="28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2</xdr:row>
      <xdr:rowOff>0</xdr:rowOff>
    </xdr:from>
    <xdr:to>
      <xdr:col>3</xdr:col>
      <xdr:colOff>266700</xdr:colOff>
      <xdr:row>2</xdr:row>
      <xdr:rowOff>200025</xdr:rowOff>
    </xdr:to>
    <xdr:sp macro="" textlink="">
      <xdr:nvSpPr>
        <xdr:cNvPr id="669021" name="Text Box 112">
          <a:extLst>
            <a:ext uri="{FF2B5EF4-FFF2-40B4-BE49-F238E27FC236}">
              <a16:creationId xmlns="" xmlns:a16="http://schemas.microsoft.com/office/drawing/2014/main" id="{00000000-0008-0000-0000-00005D350A00}"/>
            </a:ext>
          </a:extLst>
        </xdr:cNvPr>
        <xdr:cNvSpPr txBox="1">
          <a:spLocks noChangeArrowheads="1"/>
        </xdr:cNvSpPr>
      </xdr:nvSpPr>
      <xdr:spPr bwMode="auto">
        <a:xfrm>
          <a:off x="1362075" y="28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2</xdr:row>
      <xdr:rowOff>0</xdr:rowOff>
    </xdr:from>
    <xdr:to>
      <xdr:col>3</xdr:col>
      <xdr:colOff>238125</xdr:colOff>
      <xdr:row>2</xdr:row>
      <xdr:rowOff>200025</xdr:rowOff>
    </xdr:to>
    <xdr:sp macro="" textlink="">
      <xdr:nvSpPr>
        <xdr:cNvPr id="669022" name="Text Box 113">
          <a:extLst>
            <a:ext uri="{FF2B5EF4-FFF2-40B4-BE49-F238E27FC236}">
              <a16:creationId xmlns="" xmlns:a16="http://schemas.microsoft.com/office/drawing/2014/main" id="{00000000-0008-0000-0000-00005E350A00}"/>
            </a:ext>
          </a:extLst>
        </xdr:cNvPr>
        <xdr:cNvSpPr txBox="1">
          <a:spLocks noChangeArrowheads="1"/>
        </xdr:cNvSpPr>
      </xdr:nvSpPr>
      <xdr:spPr bwMode="auto">
        <a:xfrm>
          <a:off x="1333500" y="28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2</xdr:row>
      <xdr:rowOff>0</xdr:rowOff>
    </xdr:from>
    <xdr:to>
      <xdr:col>3</xdr:col>
      <xdr:colOff>238125</xdr:colOff>
      <xdr:row>2</xdr:row>
      <xdr:rowOff>200025</xdr:rowOff>
    </xdr:to>
    <xdr:sp macro="" textlink="">
      <xdr:nvSpPr>
        <xdr:cNvPr id="669023" name="Text Box 114">
          <a:extLst>
            <a:ext uri="{FF2B5EF4-FFF2-40B4-BE49-F238E27FC236}">
              <a16:creationId xmlns="" xmlns:a16="http://schemas.microsoft.com/office/drawing/2014/main" id="{00000000-0008-0000-0000-00005F350A00}"/>
            </a:ext>
          </a:extLst>
        </xdr:cNvPr>
        <xdr:cNvSpPr txBox="1">
          <a:spLocks noChangeArrowheads="1"/>
        </xdr:cNvSpPr>
      </xdr:nvSpPr>
      <xdr:spPr bwMode="auto">
        <a:xfrm>
          <a:off x="1333500" y="28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2</xdr:row>
      <xdr:rowOff>0</xdr:rowOff>
    </xdr:from>
    <xdr:to>
      <xdr:col>3</xdr:col>
      <xdr:colOff>266700</xdr:colOff>
      <xdr:row>2</xdr:row>
      <xdr:rowOff>200025</xdr:rowOff>
    </xdr:to>
    <xdr:sp macro="" textlink="">
      <xdr:nvSpPr>
        <xdr:cNvPr id="669024" name="Text Box 115">
          <a:extLst>
            <a:ext uri="{FF2B5EF4-FFF2-40B4-BE49-F238E27FC236}">
              <a16:creationId xmlns="" xmlns:a16="http://schemas.microsoft.com/office/drawing/2014/main" id="{00000000-0008-0000-0000-000060350A00}"/>
            </a:ext>
          </a:extLst>
        </xdr:cNvPr>
        <xdr:cNvSpPr txBox="1">
          <a:spLocks noChangeArrowheads="1"/>
        </xdr:cNvSpPr>
      </xdr:nvSpPr>
      <xdr:spPr bwMode="auto">
        <a:xfrm>
          <a:off x="1362075" y="28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2</xdr:row>
      <xdr:rowOff>0</xdr:rowOff>
    </xdr:from>
    <xdr:to>
      <xdr:col>3</xdr:col>
      <xdr:colOff>238125</xdr:colOff>
      <xdr:row>2</xdr:row>
      <xdr:rowOff>200025</xdr:rowOff>
    </xdr:to>
    <xdr:sp macro="" textlink="">
      <xdr:nvSpPr>
        <xdr:cNvPr id="669025" name="Text Box 116">
          <a:extLst>
            <a:ext uri="{FF2B5EF4-FFF2-40B4-BE49-F238E27FC236}">
              <a16:creationId xmlns="" xmlns:a16="http://schemas.microsoft.com/office/drawing/2014/main" id="{00000000-0008-0000-0000-000061350A00}"/>
            </a:ext>
          </a:extLst>
        </xdr:cNvPr>
        <xdr:cNvSpPr txBox="1">
          <a:spLocks noChangeArrowheads="1"/>
        </xdr:cNvSpPr>
      </xdr:nvSpPr>
      <xdr:spPr bwMode="auto">
        <a:xfrm>
          <a:off x="1333500" y="28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2</xdr:row>
      <xdr:rowOff>0</xdr:rowOff>
    </xdr:from>
    <xdr:to>
      <xdr:col>3</xdr:col>
      <xdr:colOff>266700</xdr:colOff>
      <xdr:row>2</xdr:row>
      <xdr:rowOff>200025</xdr:rowOff>
    </xdr:to>
    <xdr:sp macro="" textlink="">
      <xdr:nvSpPr>
        <xdr:cNvPr id="669026" name="Text Box 117">
          <a:extLst>
            <a:ext uri="{FF2B5EF4-FFF2-40B4-BE49-F238E27FC236}">
              <a16:creationId xmlns="" xmlns:a16="http://schemas.microsoft.com/office/drawing/2014/main" id="{00000000-0008-0000-0000-000062350A00}"/>
            </a:ext>
          </a:extLst>
        </xdr:cNvPr>
        <xdr:cNvSpPr txBox="1">
          <a:spLocks noChangeArrowheads="1"/>
        </xdr:cNvSpPr>
      </xdr:nvSpPr>
      <xdr:spPr bwMode="auto">
        <a:xfrm>
          <a:off x="1362075" y="2857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1</xdr:col>
      <xdr:colOff>9525</xdr:colOff>
      <xdr:row>7</xdr:row>
      <xdr:rowOff>19050</xdr:rowOff>
    </xdr:to>
    <xdr:pic>
      <xdr:nvPicPr>
        <xdr:cNvPr id="669027" name="Picture 209" descr="ewitlogo-nothai">
          <a:extLst>
            <a:ext uri="{FF2B5EF4-FFF2-40B4-BE49-F238E27FC236}">
              <a16:creationId xmlns="" xmlns:a16="http://schemas.microsoft.com/office/drawing/2014/main" id="{00000000-0008-0000-0000-000063350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"/>
          <a:ext cx="68580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28" name="Text Box 212">
          <a:extLst>
            <a:ext uri="{FF2B5EF4-FFF2-40B4-BE49-F238E27FC236}">
              <a16:creationId xmlns="" xmlns:a16="http://schemas.microsoft.com/office/drawing/2014/main" id="{00000000-0008-0000-0000-000064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029" name="Text Box 213">
          <a:extLst>
            <a:ext uri="{FF2B5EF4-FFF2-40B4-BE49-F238E27FC236}">
              <a16:creationId xmlns="" xmlns:a16="http://schemas.microsoft.com/office/drawing/2014/main" id="{00000000-0008-0000-0000-00006535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30" name="Text Box 214">
          <a:extLst>
            <a:ext uri="{FF2B5EF4-FFF2-40B4-BE49-F238E27FC236}">
              <a16:creationId xmlns="" xmlns:a16="http://schemas.microsoft.com/office/drawing/2014/main" id="{00000000-0008-0000-0000-000066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031" name="Text Box 215">
          <a:extLst>
            <a:ext uri="{FF2B5EF4-FFF2-40B4-BE49-F238E27FC236}">
              <a16:creationId xmlns="" xmlns:a16="http://schemas.microsoft.com/office/drawing/2014/main" id="{00000000-0008-0000-0000-00006735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32" name="Text Box 216">
          <a:extLst>
            <a:ext uri="{FF2B5EF4-FFF2-40B4-BE49-F238E27FC236}">
              <a16:creationId xmlns="" xmlns:a16="http://schemas.microsoft.com/office/drawing/2014/main" id="{00000000-0008-0000-0000-000068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033" name="Text Box 217">
          <a:extLst>
            <a:ext uri="{FF2B5EF4-FFF2-40B4-BE49-F238E27FC236}">
              <a16:creationId xmlns="" xmlns:a16="http://schemas.microsoft.com/office/drawing/2014/main" id="{00000000-0008-0000-0000-00006935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34" name="Text Box 218">
          <a:extLst>
            <a:ext uri="{FF2B5EF4-FFF2-40B4-BE49-F238E27FC236}">
              <a16:creationId xmlns="" xmlns:a16="http://schemas.microsoft.com/office/drawing/2014/main" id="{00000000-0008-0000-0000-00006A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35" name="Text Box 219">
          <a:extLst>
            <a:ext uri="{FF2B5EF4-FFF2-40B4-BE49-F238E27FC236}">
              <a16:creationId xmlns="" xmlns:a16="http://schemas.microsoft.com/office/drawing/2014/main" id="{00000000-0008-0000-0000-00006B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036" name="Text Box 220">
          <a:extLst>
            <a:ext uri="{FF2B5EF4-FFF2-40B4-BE49-F238E27FC236}">
              <a16:creationId xmlns="" xmlns:a16="http://schemas.microsoft.com/office/drawing/2014/main" id="{00000000-0008-0000-0000-00006C35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37" name="Text Box 221">
          <a:extLst>
            <a:ext uri="{FF2B5EF4-FFF2-40B4-BE49-F238E27FC236}">
              <a16:creationId xmlns="" xmlns:a16="http://schemas.microsoft.com/office/drawing/2014/main" id="{00000000-0008-0000-0000-00006D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038" name="Text Box 222">
          <a:extLst>
            <a:ext uri="{FF2B5EF4-FFF2-40B4-BE49-F238E27FC236}">
              <a16:creationId xmlns="" xmlns:a16="http://schemas.microsoft.com/office/drawing/2014/main" id="{00000000-0008-0000-0000-00006E35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39" name="Text Box 223">
          <a:extLst>
            <a:ext uri="{FF2B5EF4-FFF2-40B4-BE49-F238E27FC236}">
              <a16:creationId xmlns="" xmlns:a16="http://schemas.microsoft.com/office/drawing/2014/main" id="{00000000-0008-0000-0000-00006F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40" name="Text Box 224">
          <a:extLst>
            <a:ext uri="{FF2B5EF4-FFF2-40B4-BE49-F238E27FC236}">
              <a16:creationId xmlns="" xmlns:a16="http://schemas.microsoft.com/office/drawing/2014/main" id="{00000000-0008-0000-0000-000070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041" name="Text Box 225">
          <a:extLst>
            <a:ext uri="{FF2B5EF4-FFF2-40B4-BE49-F238E27FC236}">
              <a16:creationId xmlns="" xmlns:a16="http://schemas.microsoft.com/office/drawing/2014/main" id="{00000000-0008-0000-0000-00007135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42" name="Text Box 226">
          <a:extLst>
            <a:ext uri="{FF2B5EF4-FFF2-40B4-BE49-F238E27FC236}">
              <a16:creationId xmlns="" xmlns:a16="http://schemas.microsoft.com/office/drawing/2014/main" id="{00000000-0008-0000-0000-000072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043" name="Text Box 227">
          <a:extLst>
            <a:ext uri="{FF2B5EF4-FFF2-40B4-BE49-F238E27FC236}">
              <a16:creationId xmlns="" xmlns:a16="http://schemas.microsoft.com/office/drawing/2014/main" id="{00000000-0008-0000-0000-00007335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44" name="Text Box 228">
          <a:extLst>
            <a:ext uri="{FF2B5EF4-FFF2-40B4-BE49-F238E27FC236}">
              <a16:creationId xmlns="" xmlns:a16="http://schemas.microsoft.com/office/drawing/2014/main" id="{00000000-0008-0000-0000-000074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045" name="Text Box 229">
          <a:extLst>
            <a:ext uri="{FF2B5EF4-FFF2-40B4-BE49-F238E27FC236}">
              <a16:creationId xmlns="" xmlns:a16="http://schemas.microsoft.com/office/drawing/2014/main" id="{00000000-0008-0000-0000-00007535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46" name="Text Box 230">
          <a:extLst>
            <a:ext uri="{FF2B5EF4-FFF2-40B4-BE49-F238E27FC236}">
              <a16:creationId xmlns="" xmlns:a16="http://schemas.microsoft.com/office/drawing/2014/main" id="{00000000-0008-0000-0000-000076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47" name="Text Box 231">
          <a:extLst>
            <a:ext uri="{FF2B5EF4-FFF2-40B4-BE49-F238E27FC236}">
              <a16:creationId xmlns="" xmlns:a16="http://schemas.microsoft.com/office/drawing/2014/main" id="{00000000-0008-0000-0000-000077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048" name="Text Box 232">
          <a:extLst>
            <a:ext uri="{FF2B5EF4-FFF2-40B4-BE49-F238E27FC236}">
              <a16:creationId xmlns="" xmlns:a16="http://schemas.microsoft.com/office/drawing/2014/main" id="{00000000-0008-0000-0000-00007835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49" name="Text Box 233">
          <a:extLst>
            <a:ext uri="{FF2B5EF4-FFF2-40B4-BE49-F238E27FC236}">
              <a16:creationId xmlns="" xmlns:a16="http://schemas.microsoft.com/office/drawing/2014/main" id="{00000000-0008-0000-0000-000079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050" name="Text Box 234">
          <a:extLst>
            <a:ext uri="{FF2B5EF4-FFF2-40B4-BE49-F238E27FC236}">
              <a16:creationId xmlns="" xmlns:a16="http://schemas.microsoft.com/office/drawing/2014/main" id="{00000000-0008-0000-0000-00007A35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51" name="Text Box 235">
          <a:extLst>
            <a:ext uri="{FF2B5EF4-FFF2-40B4-BE49-F238E27FC236}">
              <a16:creationId xmlns="" xmlns:a16="http://schemas.microsoft.com/office/drawing/2014/main" id="{00000000-0008-0000-0000-00007B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52" name="Text Box 236">
          <a:extLst>
            <a:ext uri="{FF2B5EF4-FFF2-40B4-BE49-F238E27FC236}">
              <a16:creationId xmlns="" xmlns:a16="http://schemas.microsoft.com/office/drawing/2014/main" id="{00000000-0008-0000-0000-00007C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053" name="Text Box 237">
          <a:extLst>
            <a:ext uri="{FF2B5EF4-FFF2-40B4-BE49-F238E27FC236}">
              <a16:creationId xmlns="" xmlns:a16="http://schemas.microsoft.com/office/drawing/2014/main" id="{00000000-0008-0000-0000-00007D35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54" name="Text Box 238">
          <a:extLst>
            <a:ext uri="{FF2B5EF4-FFF2-40B4-BE49-F238E27FC236}">
              <a16:creationId xmlns="" xmlns:a16="http://schemas.microsoft.com/office/drawing/2014/main" id="{00000000-0008-0000-0000-00007E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055" name="Text Box 239">
          <a:extLst>
            <a:ext uri="{FF2B5EF4-FFF2-40B4-BE49-F238E27FC236}">
              <a16:creationId xmlns="" xmlns:a16="http://schemas.microsoft.com/office/drawing/2014/main" id="{00000000-0008-0000-0000-00007F35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56" name="Text Box 240">
          <a:extLst>
            <a:ext uri="{FF2B5EF4-FFF2-40B4-BE49-F238E27FC236}">
              <a16:creationId xmlns="" xmlns:a16="http://schemas.microsoft.com/office/drawing/2014/main" id="{00000000-0008-0000-0000-000080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057" name="Text Box 241">
          <a:extLst>
            <a:ext uri="{FF2B5EF4-FFF2-40B4-BE49-F238E27FC236}">
              <a16:creationId xmlns="" xmlns:a16="http://schemas.microsoft.com/office/drawing/2014/main" id="{00000000-0008-0000-0000-00008135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58" name="Text Box 242">
          <a:extLst>
            <a:ext uri="{FF2B5EF4-FFF2-40B4-BE49-F238E27FC236}">
              <a16:creationId xmlns="" xmlns:a16="http://schemas.microsoft.com/office/drawing/2014/main" id="{00000000-0008-0000-0000-000082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059" name="Text Box 243">
          <a:extLst>
            <a:ext uri="{FF2B5EF4-FFF2-40B4-BE49-F238E27FC236}">
              <a16:creationId xmlns="" xmlns:a16="http://schemas.microsoft.com/office/drawing/2014/main" id="{00000000-0008-0000-0000-00008335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60" name="Text Box 244">
          <a:extLst>
            <a:ext uri="{FF2B5EF4-FFF2-40B4-BE49-F238E27FC236}">
              <a16:creationId xmlns="" xmlns:a16="http://schemas.microsoft.com/office/drawing/2014/main" id="{00000000-0008-0000-0000-000084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61" name="Text Box 245">
          <a:extLst>
            <a:ext uri="{FF2B5EF4-FFF2-40B4-BE49-F238E27FC236}">
              <a16:creationId xmlns="" xmlns:a16="http://schemas.microsoft.com/office/drawing/2014/main" id="{00000000-0008-0000-0000-000085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062" name="Text Box 246">
          <a:extLst>
            <a:ext uri="{FF2B5EF4-FFF2-40B4-BE49-F238E27FC236}">
              <a16:creationId xmlns="" xmlns:a16="http://schemas.microsoft.com/office/drawing/2014/main" id="{00000000-0008-0000-0000-00008635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63" name="Text Box 247">
          <a:extLst>
            <a:ext uri="{FF2B5EF4-FFF2-40B4-BE49-F238E27FC236}">
              <a16:creationId xmlns="" xmlns:a16="http://schemas.microsoft.com/office/drawing/2014/main" id="{00000000-0008-0000-0000-000087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064" name="Text Box 248">
          <a:extLst>
            <a:ext uri="{FF2B5EF4-FFF2-40B4-BE49-F238E27FC236}">
              <a16:creationId xmlns="" xmlns:a16="http://schemas.microsoft.com/office/drawing/2014/main" id="{00000000-0008-0000-0000-00008835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65" name="Text Box 249">
          <a:extLst>
            <a:ext uri="{FF2B5EF4-FFF2-40B4-BE49-F238E27FC236}">
              <a16:creationId xmlns="" xmlns:a16="http://schemas.microsoft.com/office/drawing/2014/main" id="{00000000-0008-0000-0000-000089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66" name="Text Box 250">
          <a:extLst>
            <a:ext uri="{FF2B5EF4-FFF2-40B4-BE49-F238E27FC236}">
              <a16:creationId xmlns="" xmlns:a16="http://schemas.microsoft.com/office/drawing/2014/main" id="{00000000-0008-0000-0000-00008A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067" name="Text Box 251">
          <a:extLst>
            <a:ext uri="{FF2B5EF4-FFF2-40B4-BE49-F238E27FC236}">
              <a16:creationId xmlns="" xmlns:a16="http://schemas.microsoft.com/office/drawing/2014/main" id="{00000000-0008-0000-0000-00008B35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68" name="Text Box 252">
          <a:extLst>
            <a:ext uri="{FF2B5EF4-FFF2-40B4-BE49-F238E27FC236}">
              <a16:creationId xmlns="" xmlns:a16="http://schemas.microsoft.com/office/drawing/2014/main" id="{00000000-0008-0000-0000-00008C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069" name="Text Box 253">
          <a:extLst>
            <a:ext uri="{FF2B5EF4-FFF2-40B4-BE49-F238E27FC236}">
              <a16:creationId xmlns="" xmlns:a16="http://schemas.microsoft.com/office/drawing/2014/main" id="{00000000-0008-0000-0000-00008D35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70" name="Text Box 254">
          <a:extLst>
            <a:ext uri="{FF2B5EF4-FFF2-40B4-BE49-F238E27FC236}">
              <a16:creationId xmlns="" xmlns:a16="http://schemas.microsoft.com/office/drawing/2014/main" id="{00000000-0008-0000-0000-00008E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071" name="Text Box 255">
          <a:extLst>
            <a:ext uri="{FF2B5EF4-FFF2-40B4-BE49-F238E27FC236}">
              <a16:creationId xmlns="" xmlns:a16="http://schemas.microsoft.com/office/drawing/2014/main" id="{00000000-0008-0000-0000-00008F35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72" name="Text Box 256">
          <a:extLst>
            <a:ext uri="{FF2B5EF4-FFF2-40B4-BE49-F238E27FC236}">
              <a16:creationId xmlns="" xmlns:a16="http://schemas.microsoft.com/office/drawing/2014/main" id="{00000000-0008-0000-0000-000090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73" name="Text Box 257">
          <a:extLst>
            <a:ext uri="{FF2B5EF4-FFF2-40B4-BE49-F238E27FC236}">
              <a16:creationId xmlns="" xmlns:a16="http://schemas.microsoft.com/office/drawing/2014/main" id="{00000000-0008-0000-0000-000091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074" name="Text Box 258">
          <a:extLst>
            <a:ext uri="{FF2B5EF4-FFF2-40B4-BE49-F238E27FC236}">
              <a16:creationId xmlns="" xmlns:a16="http://schemas.microsoft.com/office/drawing/2014/main" id="{00000000-0008-0000-0000-00009235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75" name="Text Box 259">
          <a:extLst>
            <a:ext uri="{FF2B5EF4-FFF2-40B4-BE49-F238E27FC236}">
              <a16:creationId xmlns="" xmlns:a16="http://schemas.microsoft.com/office/drawing/2014/main" id="{00000000-0008-0000-0000-000093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076" name="Text Box 260">
          <a:extLst>
            <a:ext uri="{FF2B5EF4-FFF2-40B4-BE49-F238E27FC236}">
              <a16:creationId xmlns="" xmlns:a16="http://schemas.microsoft.com/office/drawing/2014/main" id="{00000000-0008-0000-0000-00009435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77" name="Text Box 261">
          <a:extLst>
            <a:ext uri="{FF2B5EF4-FFF2-40B4-BE49-F238E27FC236}">
              <a16:creationId xmlns="" xmlns:a16="http://schemas.microsoft.com/office/drawing/2014/main" id="{00000000-0008-0000-0000-000095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78" name="Text Box 262">
          <a:extLst>
            <a:ext uri="{FF2B5EF4-FFF2-40B4-BE49-F238E27FC236}">
              <a16:creationId xmlns="" xmlns:a16="http://schemas.microsoft.com/office/drawing/2014/main" id="{00000000-0008-0000-0000-000096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079" name="Text Box 263">
          <a:extLst>
            <a:ext uri="{FF2B5EF4-FFF2-40B4-BE49-F238E27FC236}">
              <a16:creationId xmlns="" xmlns:a16="http://schemas.microsoft.com/office/drawing/2014/main" id="{00000000-0008-0000-0000-00009735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80" name="Text Box 264">
          <a:extLst>
            <a:ext uri="{FF2B5EF4-FFF2-40B4-BE49-F238E27FC236}">
              <a16:creationId xmlns="" xmlns:a16="http://schemas.microsoft.com/office/drawing/2014/main" id="{00000000-0008-0000-0000-000098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081" name="Text Box 265">
          <a:extLst>
            <a:ext uri="{FF2B5EF4-FFF2-40B4-BE49-F238E27FC236}">
              <a16:creationId xmlns="" xmlns:a16="http://schemas.microsoft.com/office/drawing/2014/main" id="{00000000-0008-0000-0000-00009935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82" name="Text Box 266">
          <a:extLst>
            <a:ext uri="{FF2B5EF4-FFF2-40B4-BE49-F238E27FC236}">
              <a16:creationId xmlns="" xmlns:a16="http://schemas.microsoft.com/office/drawing/2014/main" id="{00000000-0008-0000-0000-00009A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083" name="Text Box 267">
          <a:extLst>
            <a:ext uri="{FF2B5EF4-FFF2-40B4-BE49-F238E27FC236}">
              <a16:creationId xmlns="" xmlns:a16="http://schemas.microsoft.com/office/drawing/2014/main" id="{00000000-0008-0000-0000-00009B35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84" name="Text Box 268">
          <a:extLst>
            <a:ext uri="{FF2B5EF4-FFF2-40B4-BE49-F238E27FC236}">
              <a16:creationId xmlns="" xmlns:a16="http://schemas.microsoft.com/office/drawing/2014/main" id="{00000000-0008-0000-0000-00009C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085" name="Text Box 269">
          <a:extLst>
            <a:ext uri="{FF2B5EF4-FFF2-40B4-BE49-F238E27FC236}">
              <a16:creationId xmlns="" xmlns:a16="http://schemas.microsoft.com/office/drawing/2014/main" id="{00000000-0008-0000-0000-00009D35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86" name="Text Box 270">
          <a:extLst>
            <a:ext uri="{FF2B5EF4-FFF2-40B4-BE49-F238E27FC236}">
              <a16:creationId xmlns="" xmlns:a16="http://schemas.microsoft.com/office/drawing/2014/main" id="{00000000-0008-0000-0000-00009E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87" name="Text Box 271">
          <a:extLst>
            <a:ext uri="{FF2B5EF4-FFF2-40B4-BE49-F238E27FC236}">
              <a16:creationId xmlns="" xmlns:a16="http://schemas.microsoft.com/office/drawing/2014/main" id="{00000000-0008-0000-0000-00009F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088" name="Text Box 272">
          <a:extLst>
            <a:ext uri="{FF2B5EF4-FFF2-40B4-BE49-F238E27FC236}">
              <a16:creationId xmlns="" xmlns:a16="http://schemas.microsoft.com/office/drawing/2014/main" id="{00000000-0008-0000-0000-0000A035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89" name="Text Box 273">
          <a:extLst>
            <a:ext uri="{FF2B5EF4-FFF2-40B4-BE49-F238E27FC236}">
              <a16:creationId xmlns="" xmlns:a16="http://schemas.microsoft.com/office/drawing/2014/main" id="{00000000-0008-0000-0000-0000A1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090" name="Text Box 274">
          <a:extLst>
            <a:ext uri="{FF2B5EF4-FFF2-40B4-BE49-F238E27FC236}">
              <a16:creationId xmlns="" xmlns:a16="http://schemas.microsoft.com/office/drawing/2014/main" id="{00000000-0008-0000-0000-0000A235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91" name="Text Box 275">
          <a:extLst>
            <a:ext uri="{FF2B5EF4-FFF2-40B4-BE49-F238E27FC236}">
              <a16:creationId xmlns="" xmlns:a16="http://schemas.microsoft.com/office/drawing/2014/main" id="{00000000-0008-0000-0000-0000A3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92" name="Text Box 276">
          <a:extLst>
            <a:ext uri="{FF2B5EF4-FFF2-40B4-BE49-F238E27FC236}">
              <a16:creationId xmlns="" xmlns:a16="http://schemas.microsoft.com/office/drawing/2014/main" id="{00000000-0008-0000-0000-0000A4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093" name="Text Box 277">
          <a:extLst>
            <a:ext uri="{FF2B5EF4-FFF2-40B4-BE49-F238E27FC236}">
              <a16:creationId xmlns="" xmlns:a16="http://schemas.microsoft.com/office/drawing/2014/main" id="{00000000-0008-0000-0000-0000A535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94" name="Text Box 278">
          <a:extLst>
            <a:ext uri="{FF2B5EF4-FFF2-40B4-BE49-F238E27FC236}">
              <a16:creationId xmlns="" xmlns:a16="http://schemas.microsoft.com/office/drawing/2014/main" id="{00000000-0008-0000-0000-0000A6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95" name="Text Box 280">
          <a:extLst>
            <a:ext uri="{FF2B5EF4-FFF2-40B4-BE49-F238E27FC236}">
              <a16:creationId xmlns="" xmlns:a16="http://schemas.microsoft.com/office/drawing/2014/main" id="{00000000-0008-0000-0000-0000A7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96" name="Text Box 282">
          <a:extLst>
            <a:ext uri="{FF2B5EF4-FFF2-40B4-BE49-F238E27FC236}">
              <a16:creationId xmlns="" xmlns:a16="http://schemas.microsoft.com/office/drawing/2014/main" id="{00000000-0008-0000-0000-0000A8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97" name="Text Box 283">
          <a:extLst>
            <a:ext uri="{FF2B5EF4-FFF2-40B4-BE49-F238E27FC236}">
              <a16:creationId xmlns="" xmlns:a16="http://schemas.microsoft.com/office/drawing/2014/main" id="{00000000-0008-0000-0000-0000A9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98" name="Text Box 285">
          <a:extLst>
            <a:ext uri="{FF2B5EF4-FFF2-40B4-BE49-F238E27FC236}">
              <a16:creationId xmlns="" xmlns:a16="http://schemas.microsoft.com/office/drawing/2014/main" id="{00000000-0008-0000-0000-0000AA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099" name="Text Box 287">
          <a:extLst>
            <a:ext uri="{FF2B5EF4-FFF2-40B4-BE49-F238E27FC236}">
              <a16:creationId xmlns="" xmlns:a16="http://schemas.microsoft.com/office/drawing/2014/main" id="{00000000-0008-0000-0000-0000AB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100" name="Text Box 288">
          <a:extLst>
            <a:ext uri="{FF2B5EF4-FFF2-40B4-BE49-F238E27FC236}">
              <a16:creationId xmlns="" xmlns:a16="http://schemas.microsoft.com/office/drawing/2014/main" id="{00000000-0008-0000-0000-0000AC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101" name="Text Box 289">
          <a:extLst>
            <a:ext uri="{FF2B5EF4-FFF2-40B4-BE49-F238E27FC236}">
              <a16:creationId xmlns="" xmlns:a16="http://schemas.microsoft.com/office/drawing/2014/main" id="{00000000-0008-0000-0000-0000AD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102" name="Text Box 290">
          <a:extLst>
            <a:ext uri="{FF2B5EF4-FFF2-40B4-BE49-F238E27FC236}">
              <a16:creationId xmlns="" xmlns:a16="http://schemas.microsoft.com/office/drawing/2014/main" id="{00000000-0008-0000-0000-0000AE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103" name="Text Box 291">
          <a:extLst>
            <a:ext uri="{FF2B5EF4-FFF2-40B4-BE49-F238E27FC236}">
              <a16:creationId xmlns="" xmlns:a16="http://schemas.microsoft.com/office/drawing/2014/main" id="{00000000-0008-0000-0000-0000AF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104" name="Text Box 292">
          <a:extLst>
            <a:ext uri="{FF2B5EF4-FFF2-40B4-BE49-F238E27FC236}">
              <a16:creationId xmlns="" xmlns:a16="http://schemas.microsoft.com/office/drawing/2014/main" id="{00000000-0008-0000-0000-0000B0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105" name="Text Box 293">
          <a:extLst>
            <a:ext uri="{FF2B5EF4-FFF2-40B4-BE49-F238E27FC236}">
              <a16:creationId xmlns="" xmlns:a16="http://schemas.microsoft.com/office/drawing/2014/main" id="{00000000-0008-0000-0000-0000B135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06" name="Text Box 316">
          <a:extLst>
            <a:ext uri="{FF2B5EF4-FFF2-40B4-BE49-F238E27FC236}">
              <a16:creationId xmlns="" xmlns:a16="http://schemas.microsoft.com/office/drawing/2014/main" id="{00000000-0008-0000-0000-0000B2350A00}"/>
            </a:ext>
          </a:extLst>
        </xdr:cNvPr>
        <xdr:cNvSpPr txBox="1">
          <a:spLocks noChangeArrowheads="1"/>
        </xdr:cNvSpPr>
      </xdr:nvSpPr>
      <xdr:spPr bwMode="auto">
        <a:xfrm>
          <a:off x="1333500" y="13211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107" name="Text Box 317">
          <a:extLst>
            <a:ext uri="{FF2B5EF4-FFF2-40B4-BE49-F238E27FC236}">
              <a16:creationId xmlns="" xmlns:a16="http://schemas.microsoft.com/office/drawing/2014/main" id="{00000000-0008-0000-0000-0000B3350A00}"/>
            </a:ext>
          </a:extLst>
        </xdr:cNvPr>
        <xdr:cNvSpPr txBox="1">
          <a:spLocks noChangeArrowheads="1"/>
        </xdr:cNvSpPr>
      </xdr:nvSpPr>
      <xdr:spPr bwMode="auto">
        <a:xfrm>
          <a:off x="1362075" y="13211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08" name="Text Box 318">
          <a:extLst>
            <a:ext uri="{FF2B5EF4-FFF2-40B4-BE49-F238E27FC236}">
              <a16:creationId xmlns="" xmlns:a16="http://schemas.microsoft.com/office/drawing/2014/main" id="{00000000-0008-0000-0000-0000B4350A00}"/>
            </a:ext>
          </a:extLst>
        </xdr:cNvPr>
        <xdr:cNvSpPr txBox="1">
          <a:spLocks noChangeArrowheads="1"/>
        </xdr:cNvSpPr>
      </xdr:nvSpPr>
      <xdr:spPr bwMode="auto">
        <a:xfrm>
          <a:off x="1333500" y="13211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109" name="Text Box 319">
          <a:extLst>
            <a:ext uri="{FF2B5EF4-FFF2-40B4-BE49-F238E27FC236}">
              <a16:creationId xmlns="" xmlns:a16="http://schemas.microsoft.com/office/drawing/2014/main" id="{00000000-0008-0000-0000-0000B5350A00}"/>
            </a:ext>
          </a:extLst>
        </xdr:cNvPr>
        <xdr:cNvSpPr txBox="1">
          <a:spLocks noChangeArrowheads="1"/>
        </xdr:cNvSpPr>
      </xdr:nvSpPr>
      <xdr:spPr bwMode="auto">
        <a:xfrm>
          <a:off x="1362075" y="13211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10" name="Text Box 320">
          <a:extLst>
            <a:ext uri="{FF2B5EF4-FFF2-40B4-BE49-F238E27FC236}">
              <a16:creationId xmlns="" xmlns:a16="http://schemas.microsoft.com/office/drawing/2014/main" id="{00000000-0008-0000-0000-0000B6350A00}"/>
            </a:ext>
          </a:extLst>
        </xdr:cNvPr>
        <xdr:cNvSpPr txBox="1">
          <a:spLocks noChangeArrowheads="1"/>
        </xdr:cNvSpPr>
      </xdr:nvSpPr>
      <xdr:spPr bwMode="auto">
        <a:xfrm>
          <a:off x="1333500" y="13211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111" name="Text Box 321">
          <a:extLst>
            <a:ext uri="{FF2B5EF4-FFF2-40B4-BE49-F238E27FC236}">
              <a16:creationId xmlns="" xmlns:a16="http://schemas.microsoft.com/office/drawing/2014/main" id="{00000000-0008-0000-0000-0000B7350A00}"/>
            </a:ext>
          </a:extLst>
        </xdr:cNvPr>
        <xdr:cNvSpPr txBox="1">
          <a:spLocks noChangeArrowheads="1"/>
        </xdr:cNvSpPr>
      </xdr:nvSpPr>
      <xdr:spPr bwMode="auto">
        <a:xfrm>
          <a:off x="1362075" y="13211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12" name="Text Box 322">
          <a:extLst>
            <a:ext uri="{FF2B5EF4-FFF2-40B4-BE49-F238E27FC236}">
              <a16:creationId xmlns="" xmlns:a16="http://schemas.microsoft.com/office/drawing/2014/main" id="{00000000-0008-0000-0000-0000B8350A00}"/>
            </a:ext>
          </a:extLst>
        </xdr:cNvPr>
        <xdr:cNvSpPr txBox="1">
          <a:spLocks noChangeArrowheads="1"/>
        </xdr:cNvSpPr>
      </xdr:nvSpPr>
      <xdr:spPr bwMode="auto">
        <a:xfrm>
          <a:off x="1333500" y="13211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13" name="Text Box 323">
          <a:extLst>
            <a:ext uri="{FF2B5EF4-FFF2-40B4-BE49-F238E27FC236}">
              <a16:creationId xmlns="" xmlns:a16="http://schemas.microsoft.com/office/drawing/2014/main" id="{00000000-0008-0000-0000-0000B9350A00}"/>
            </a:ext>
          </a:extLst>
        </xdr:cNvPr>
        <xdr:cNvSpPr txBox="1">
          <a:spLocks noChangeArrowheads="1"/>
        </xdr:cNvSpPr>
      </xdr:nvSpPr>
      <xdr:spPr bwMode="auto">
        <a:xfrm>
          <a:off x="1333500" y="13211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114" name="Text Box 324">
          <a:extLst>
            <a:ext uri="{FF2B5EF4-FFF2-40B4-BE49-F238E27FC236}">
              <a16:creationId xmlns="" xmlns:a16="http://schemas.microsoft.com/office/drawing/2014/main" id="{00000000-0008-0000-0000-0000BA350A00}"/>
            </a:ext>
          </a:extLst>
        </xdr:cNvPr>
        <xdr:cNvSpPr txBox="1">
          <a:spLocks noChangeArrowheads="1"/>
        </xdr:cNvSpPr>
      </xdr:nvSpPr>
      <xdr:spPr bwMode="auto">
        <a:xfrm>
          <a:off x="1362075" y="13211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15" name="Text Box 325">
          <a:extLst>
            <a:ext uri="{FF2B5EF4-FFF2-40B4-BE49-F238E27FC236}">
              <a16:creationId xmlns="" xmlns:a16="http://schemas.microsoft.com/office/drawing/2014/main" id="{00000000-0008-0000-0000-0000BB350A00}"/>
            </a:ext>
          </a:extLst>
        </xdr:cNvPr>
        <xdr:cNvSpPr txBox="1">
          <a:spLocks noChangeArrowheads="1"/>
        </xdr:cNvSpPr>
      </xdr:nvSpPr>
      <xdr:spPr bwMode="auto">
        <a:xfrm>
          <a:off x="1333500" y="13211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116" name="Text Box 326">
          <a:extLst>
            <a:ext uri="{FF2B5EF4-FFF2-40B4-BE49-F238E27FC236}">
              <a16:creationId xmlns="" xmlns:a16="http://schemas.microsoft.com/office/drawing/2014/main" id="{00000000-0008-0000-0000-0000BC350A00}"/>
            </a:ext>
          </a:extLst>
        </xdr:cNvPr>
        <xdr:cNvSpPr txBox="1">
          <a:spLocks noChangeArrowheads="1"/>
        </xdr:cNvSpPr>
      </xdr:nvSpPr>
      <xdr:spPr bwMode="auto">
        <a:xfrm>
          <a:off x="1362075" y="13211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17" name="Text Box 327">
          <a:extLst>
            <a:ext uri="{FF2B5EF4-FFF2-40B4-BE49-F238E27FC236}">
              <a16:creationId xmlns="" xmlns:a16="http://schemas.microsoft.com/office/drawing/2014/main" id="{00000000-0008-0000-0000-0000BD350A00}"/>
            </a:ext>
          </a:extLst>
        </xdr:cNvPr>
        <xdr:cNvSpPr txBox="1">
          <a:spLocks noChangeArrowheads="1"/>
        </xdr:cNvSpPr>
      </xdr:nvSpPr>
      <xdr:spPr bwMode="auto">
        <a:xfrm>
          <a:off x="1333500" y="13211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18" name="Text Box 328">
          <a:extLst>
            <a:ext uri="{FF2B5EF4-FFF2-40B4-BE49-F238E27FC236}">
              <a16:creationId xmlns="" xmlns:a16="http://schemas.microsoft.com/office/drawing/2014/main" id="{00000000-0008-0000-0000-0000BE350A00}"/>
            </a:ext>
          </a:extLst>
        </xdr:cNvPr>
        <xdr:cNvSpPr txBox="1">
          <a:spLocks noChangeArrowheads="1"/>
        </xdr:cNvSpPr>
      </xdr:nvSpPr>
      <xdr:spPr bwMode="auto">
        <a:xfrm>
          <a:off x="1333500" y="13211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119" name="Text Box 329">
          <a:extLst>
            <a:ext uri="{FF2B5EF4-FFF2-40B4-BE49-F238E27FC236}">
              <a16:creationId xmlns="" xmlns:a16="http://schemas.microsoft.com/office/drawing/2014/main" id="{00000000-0008-0000-0000-0000BF350A00}"/>
            </a:ext>
          </a:extLst>
        </xdr:cNvPr>
        <xdr:cNvSpPr txBox="1">
          <a:spLocks noChangeArrowheads="1"/>
        </xdr:cNvSpPr>
      </xdr:nvSpPr>
      <xdr:spPr bwMode="auto">
        <a:xfrm>
          <a:off x="1362075" y="13211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20" name="Text Box 330">
          <a:extLst>
            <a:ext uri="{FF2B5EF4-FFF2-40B4-BE49-F238E27FC236}">
              <a16:creationId xmlns="" xmlns:a16="http://schemas.microsoft.com/office/drawing/2014/main" id="{00000000-0008-0000-0000-0000C0350A00}"/>
            </a:ext>
          </a:extLst>
        </xdr:cNvPr>
        <xdr:cNvSpPr txBox="1">
          <a:spLocks noChangeArrowheads="1"/>
        </xdr:cNvSpPr>
      </xdr:nvSpPr>
      <xdr:spPr bwMode="auto">
        <a:xfrm>
          <a:off x="1333500" y="13211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121" name="Text Box 331">
          <a:extLst>
            <a:ext uri="{FF2B5EF4-FFF2-40B4-BE49-F238E27FC236}">
              <a16:creationId xmlns="" xmlns:a16="http://schemas.microsoft.com/office/drawing/2014/main" id="{00000000-0008-0000-0000-0000C1350A00}"/>
            </a:ext>
          </a:extLst>
        </xdr:cNvPr>
        <xdr:cNvSpPr txBox="1">
          <a:spLocks noChangeArrowheads="1"/>
        </xdr:cNvSpPr>
      </xdr:nvSpPr>
      <xdr:spPr bwMode="auto">
        <a:xfrm>
          <a:off x="1362075" y="13211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22" name="Text Box 332">
          <a:extLst>
            <a:ext uri="{FF2B5EF4-FFF2-40B4-BE49-F238E27FC236}">
              <a16:creationId xmlns="" xmlns:a16="http://schemas.microsoft.com/office/drawing/2014/main" id="{00000000-0008-0000-0000-0000C2350A00}"/>
            </a:ext>
          </a:extLst>
        </xdr:cNvPr>
        <xdr:cNvSpPr txBox="1">
          <a:spLocks noChangeArrowheads="1"/>
        </xdr:cNvSpPr>
      </xdr:nvSpPr>
      <xdr:spPr bwMode="auto">
        <a:xfrm>
          <a:off x="1333500" y="13211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123" name="Text Box 333">
          <a:extLst>
            <a:ext uri="{FF2B5EF4-FFF2-40B4-BE49-F238E27FC236}">
              <a16:creationId xmlns="" xmlns:a16="http://schemas.microsoft.com/office/drawing/2014/main" id="{00000000-0008-0000-0000-0000C3350A00}"/>
            </a:ext>
          </a:extLst>
        </xdr:cNvPr>
        <xdr:cNvSpPr txBox="1">
          <a:spLocks noChangeArrowheads="1"/>
        </xdr:cNvSpPr>
      </xdr:nvSpPr>
      <xdr:spPr bwMode="auto">
        <a:xfrm>
          <a:off x="1362075" y="13211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24" name="Text Box 334">
          <a:extLst>
            <a:ext uri="{FF2B5EF4-FFF2-40B4-BE49-F238E27FC236}">
              <a16:creationId xmlns="" xmlns:a16="http://schemas.microsoft.com/office/drawing/2014/main" id="{00000000-0008-0000-0000-0000C4350A00}"/>
            </a:ext>
          </a:extLst>
        </xdr:cNvPr>
        <xdr:cNvSpPr txBox="1">
          <a:spLocks noChangeArrowheads="1"/>
        </xdr:cNvSpPr>
      </xdr:nvSpPr>
      <xdr:spPr bwMode="auto">
        <a:xfrm>
          <a:off x="1333500" y="13211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25" name="Text Box 335">
          <a:extLst>
            <a:ext uri="{FF2B5EF4-FFF2-40B4-BE49-F238E27FC236}">
              <a16:creationId xmlns="" xmlns:a16="http://schemas.microsoft.com/office/drawing/2014/main" id="{00000000-0008-0000-0000-0000C5350A00}"/>
            </a:ext>
          </a:extLst>
        </xdr:cNvPr>
        <xdr:cNvSpPr txBox="1">
          <a:spLocks noChangeArrowheads="1"/>
        </xdr:cNvSpPr>
      </xdr:nvSpPr>
      <xdr:spPr bwMode="auto">
        <a:xfrm>
          <a:off x="1333500" y="13211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126" name="Text Box 336">
          <a:extLst>
            <a:ext uri="{FF2B5EF4-FFF2-40B4-BE49-F238E27FC236}">
              <a16:creationId xmlns="" xmlns:a16="http://schemas.microsoft.com/office/drawing/2014/main" id="{00000000-0008-0000-0000-0000C6350A00}"/>
            </a:ext>
          </a:extLst>
        </xdr:cNvPr>
        <xdr:cNvSpPr txBox="1">
          <a:spLocks noChangeArrowheads="1"/>
        </xdr:cNvSpPr>
      </xdr:nvSpPr>
      <xdr:spPr bwMode="auto">
        <a:xfrm>
          <a:off x="1362075" y="13211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27" name="Text Box 337">
          <a:extLst>
            <a:ext uri="{FF2B5EF4-FFF2-40B4-BE49-F238E27FC236}">
              <a16:creationId xmlns="" xmlns:a16="http://schemas.microsoft.com/office/drawing/2014/main" id="{00000000-0008-0000-0000-0000C7350A00}"/>
            </a:ext>
          </a:extLst>
        </xdr:cNvPr>
        <xdr:cNvSpPr txBox="1">
          <a:spLocks noChangeArrowheads="1"/>
        </xdr:cNvSpPr>
      </xdr:nvSpPr>
      <xdr:spPr bwMode="auto">
        <a:xfrm>
          <a:off x="1333500" y="13211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128" name="Text Box 338">
          <a:extLst>
            <a:ext uri="{FF2B5EF4-FFF2-40B4-BE49-F238E27FC236}">
              <a16:creationId xmlns="" xmlns:a16="http://schemas.microsoft.com/office/drawing/2014/main" id="{00000000-0008-0000-0000-0000C8350A00}"/>
            </a:ext>
          </a:extLst>
        </xdr:cNvPr>
        <xdr:cNvSpPr txBox="1">
          <a:spLocks noChangeArrowheads="1"/>
        </xdr:cNvSpPr>
      </xdr:nvSpPr>
      <xdr:spPr bwMode="auto">
        <a:xfrm>
          <a:off x="1362075" y="13211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29" name="Text Box 339">
          <a:extLst>
            <a:ext uri="{FF2B5EF4-FFF2-40B4-BE49-F238E27FC236}">
              <a16:creationId xmlns="" xmlns:a16="http://schemas.microsoft.com/office/drawing/2014/main" id="{00000000-0008-0000-0000-0000C9350A00}"/>
            </a:ext>
          </a:extLst>
        </xdr:cNvPr>
        <xdr:cNvSpPr txBox="1">
          <a:spLocks noChangeArrowheads="1"/>
        </xdr:cNvSpPr>
      </xdr:nvSpPr>
      <xdr:spPr bwMode="auto">
        <a:xfrm>
          <a:off x="1333500" y="13211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30" name="Text Box 340">
          <a:extLst>
            <a:ext uri="{FF2B5EF4-FFF2-40B4-BE49-F238E27FC236}">
              <a16:creationId xmlns="" xmlns:a16="http://schemas.microsoft.com/office/drawing/2014/main" id="{00000000-0008-0000-0000-0000CA350A00}"/>
            </a:ext>
          </a:extLst>
        </xdr:cNvPr>
        <xdr:cNvSpPr txBox="1">
          <a:spLocks noChangeArrowheads="1"/>
        </xdr:cNvSpPr>
      </xdr:nvSpPr>
      <xdr:spPr bwMode="auto">
        <a:xfrm>
          <a:off x="1333500" y="13211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131" name="Text Box 341">
          <a:extLst>
            <a:ext uri="{FF2B5EF4-FFF2-40B4-BE49-F238E27FC236}">
              <a16:creationId xmlns="" xmlns:a16="http://schemas.microsoft.com/office/drawing/2014/main" id="{00000000-0008-0000-0000-0000CB350A00}"/>
            </a:ext>
          </a:extLst>
        </xdr:cNvPr>
        <xdr:cNvSpPr txBox="1">
          <a:spLocks noChangeArrowheads="1"/>
        </xdr:cNvSpPr>
      </xdr:nvSpPr>
      <xdr:spPr bwMode="auto">
        <a:xfrm>
          <a:off x="1362075" y="13211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32" name="Text Box 342">
          <a:extLst>
            <a:ext uri="{FF2B5EF4-FFF2-40B4-BE49-F238E27FC236}">
              <a16:creationId xmlns="" xmlns:a16="http://schemas.microsoft.com/office/drawing/2014/main" id="{00000000-0008-0000-0000-0000CC350A00}"/>
            </a:ext>
          </a:extLst>
        </xdr:cNvPr>
        <xdr:cNvSpPr txBox="1">
          <a:spLocks noChangeArrowheads="1"/>
        </xdr:cNvSpPr>
      </xdr:nvSpPr>
      <xdr:spPr bwMode="auto">
        <a:xfrm>
          <a:off x="1333500" y="13211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133" name="Text Box 343">
          <a:extLst>
            <a:ext uri="{FF2B5EF4-FFF2-40B4-BE49-F238E27FC236}">
              <a16:creationId xmlns="" xmlns:a16="http://schemas.microsoft.com/office/drawing/2014/main" id="{00000000-0008-0000-0000-0000CD350A00}"/>
            </a:ext>
          </a:extLst>
        </xdr:cNvPr>
        <xdr:cNvSpPr txBox="1">
          <a:spLocks noChangeArrowheads="1"/>
        </xdr:cNvSpPr>
      </xdr:nvSpPr>
      <xdr:spPr bwMode="auto">
        <a:xfrm>
          <a:off x="1362075" y="13211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34" name="Text Box 344">
          <a:extLst>
            <a:ext uri="{FF2B5EF4-FFF2-40B4-BE49-F238E27FC236}">
              <a16:creationId xmlns="" xmlns:a16="http://schemas.microsoft.com/office/drawing/2014/main" id="{00000000-0008-0000-0000-0000CE350A00}"/>
            </a:ext>
          </a:extLst>
        </xdr:cNvPr>
        <xdr:cNvSpPr txBox="1">
          <a:spLocks noChangeArrowheads="1"/>
        </xdr:cNvSpPr>
      </xdr:nvSpPr>
      <xdr:spPr bwMode="auto">
        <a:xfrm>
          <a:off x="1333500" y="13211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135" name="Text Box 345">
          <a:extLst>
            <a:ext uri="{FF2B5EF4-FFF2-40B4-BE49-F238E27FC236}">
              <a16:creationId xmlns="" xmlns:a16="http://schemas.microsoft.com/office/drawing/2014/main" id="{00000000-0008-0000-0000-0000CF350A00}"/>
            </a:ext>
          </a:extLst>
        </xdr:cNvPr>
        <xdr:cNvSpPr txBox="1">
          <a:spLocks noChangeArrowheads="1"/>
        </xdr:cNvSpPr>
      </xdr:nvSpPr>
      <xdr:spPr bwMode="auto">
        <a:xfrm>
          <a:off x="1362075" y="132111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36" name="Text Box 346">
          <a:extLst>
            <a:ext uri="{FF2B5EF4-FFF2-40B4-BE49-F238E27FC236}">
              <a16:creationId xmlns="" xmlns:a16="http://schemas.microsoft.com/office/drawing/2014/main" id="{00000000-0008-0000-0000-0000D0350A00}"/>
            </a:ext>
          </a:extLst>
        </xdr:cNvPr>
        <xdr:cNvSpPr txBox="1">
          <a:spLocks noChangeArrowheads="1"/>
        </xdr:cNvSpPr>
      </xdr:nvSpPr>
      <xdr:spPr bwMode="auto">
        <a:xfrm>
          <a:off x="1333500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137" name="Text Box 347">
          <a:extLst>
            <a:ext uri="{FF2B5EF4-FFF2-40B4-BE49-F238E27FC236}">
              <a16:creationId xmlns="" xmlns:a16="http://schemas.microsoft.com/office/drawing/2014/main" id="{00000000-0008-0000-0000-0000D1350A00}"/>
            </a:ext>
          </a:extLst>
        </xdr:cNvPr>
        <xdr:cNvSpPr txBox="1">
          <a:spLocks noChangeArrowheads="1"/>
        </xdr:cNvSpPr>
      </xdr:nvSpPr>
      <xdr:spPr bwMode="auto">
        <a:xfrm>
          <a:off x="1362075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38" name="Text Box 348">
          <a:extLst>
            <a:ext uri="{FF2B5EF4-FFF2-40B4-BE49-F238E27FC236}">
              <a16:creationId xmlns="" xmlns:a16="http://schemas.microsoft.com/office/drawing/2014/main" id="{00000000-0008-0000-0000-0000D2350A00}"/>
            </a:ext>
          </a:extLst>
        </xdr:cNvPr>
        <xdr:cNvSpPr txBox="1">
          <a:spLocks noChangeArrowheads="1"/>
        </xdr:cNvSpPr>
      </xdr:nvSpPr>
      <xdr:spPr bwMode="auto">
        <a:xfrm>
          <a:off x="1333500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139" name="Text Box 349">
          <a:extLst>
            <a:ext uri="{FF2B5EF4-FFF2-40B4-BE49-F238E27FC236}">
              <a16:creationId xmlns="" xmlns:a16="http://schemas.microsoft.com/office/drawing/2014/main" id="{00000000-0008-0000-0000-0000D3350A00}"/>
            </a:ext>
          </a:extLst>
        </xdr:cNvPr>
        <xdr:cNvSpPr txBox="1">
          <a:spLocks noChangeArrowheads="1"/>
        </xdr:cNvSpPr>
      </xdr:nvSpPr>
      <xdr:spPr bwMode="auto">
        <a:xfrm>
          <a:off x="1362075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40" name="Text Box 350">
          <a:extLst>
            <a:ext uri="{FF2B5EF4-FFF2-40B4-BE49-F238E27FC236}">
              <a16:creationId xmlns="" xmlns:a16="http://schemas.microsoft.com/office/drawing/2014/main" id="{00000000-0008-0000-0000-0000D4350A00}"/>
            </a:ext>
          </a:extLst>
        </xdr:cNvPr>
        <xdr:cNvSpPr txBox="1">
          <a:spLocks noChangeArrowheads="1"/>
        </xdr:cNvSpPr>
      </xdr:nvSpPr>
      <xdr:spPr bwMode="auto">
        <a:xfrm>
          <a:off x="1333500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141" name="Text Box 351">
          <a:extLst>
            <a:ext uri="{FF2B5EF4-FFF2-40B4-BE49-F238E27FC236}">
              <a16:creationId xmlns="" xmlns:a16="http://schemas.microsoft.com/office/drawing/2014/main" id="{00000000-0008-0000-0000-0000D5350A00}"/>
            </a:ext>
          </a:extLst>
        </xdr:cNvPr>
        <xdr:cNvSpPr txBox="1">
          <a:spLocks noChangeArrowheads="1"/>
        </xdr:cNvSpPr>
      </xdr:nvSpPr>
      <xdr:spPr bwMode="auto">
        <a:xfrm>
          <a:off x="1362075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42" name="Text Box 352">
          <a:extLst>
            <a:ext uri="{FF2B5EF4-FFF2-40B4-BE49-F238E27FC236}">
              <a16:creationId xmlns="" xmlns:a16="http://schemas.microsoft.com/office/drawing/2014/main" id="{00000000-0008-0000-0000-0000D6350A00}"/>
            </a:ext>
          </a:extLst>
        </xdr:cNvPr>
        <xdr:cNvSpPr txBox="1">
          <a:spLocks noChangeArrowheads="1"/>
        </xdr:cNvSpPr>
      </xdr:nvSpPr>
      <xdr:spPr bwMode="auto">
        <a:xfrm>
          <a:off x="1333500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43" name="Text Box 353">
          <a:extLst>
            <a:ext uri="{FF2B5EF4-FFF2-40B4-BE49-F238E27FC236}">
              <a16:creationId xmlns="" xmlns:a16="http://schemas.microsoft.com/office/drawing/2014/main" id="{00000000-0008-0000-0000-0000D7350A00}"/>
            </a:ext>
          </a:extLst>
        </xdr:cNvPr>
        <xdr:cNvSpPr txBox="1">
          <a:spLocks noChangeArrowheads="1"/>
        </xdr:cNvSpPr>
      </xdr:nvSpPr>
      <xdr:spPr bwMode="auto">
        <a:xfrm>
          <a:off x="1333500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144" name="Text Box 354">
          <a:extLst>
            <a:ext uri="{FF2B5EF4-FFF2-40B4-BE49-F238E27FC236}">
              <a16:creationId xmlns="" xmlns:a16="http://schemas.microsoft.com/office/drawing/2014/main" id="{00000000-0008-0000-0000-0000D8350A00}"/>
            </a:ext>
          </a:extLst>
        </xdr:cNvPr>
        <xdr:cNvSpPr txBox="1">
          <a:spLocks noChangeArrowheads="1"/>
        </xdr:cNvSpPr>
      </xdr:nvSpPr>
      <xdr:spPr bwMode="auto">
        <a:xfrm>
          <a:off x="1362075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45" name="Text Box 355">
          <a:extLst>
            <a:ext uri="{FF2B5EF4-FFF2-40B4-BE49-F238E27FC236}">
              <a16:creationId xmlns="" xmlns:a16="http://schemas.microsoft.com/office/drawing/2014/main" id="{00000000-0008-0000-0000-0000D9350A00}"/>
            </a:ext>
          </a:extLst>
        </xdr:cNvPr>
        <xdr:cNvSpPr txBox="1">
          <a:spLocks noChangeArrowheads="1"/>
        </xdr:cNvSpPr>
      </xdr:nvSpPr>
      <xdr:spPr bwMode="auto">
        <a:xfrm>
          <a:off x="1333500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146" name="Text Box 356">
          <a:extLst>
            <a:ext uri="{FF2B5EF4-FFF2-40B4-BE49-F238E27FC236}">
              <a16:creationId xmlns="" xmlns:a16="http://schemas.microsoft.com/office/drawing/2014/main" id="{00000000-0008-0000-0000-0000DA350A00}"/>
            </a:ext>
          </a:extLst>
        </xdr:cNvPr>
        <xdr:cNvSpPr txBox="1">
          <a:spLocks noChangeArrowheads="1"/>
        </xdr:cNvSpPr>
      </xdr:nvSpPr>
      <xdr:spPr bwMode="auto">
        <a:xfrm>
          <a:off x="1362075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47" name="Text Box 357">
          <a:extLst>
            <a:ext uri="{FF2B5EF4-FFF2-40B4-BE49-F238E27FC236}">
              <a16:creationId xmlns="" xmlns:a16="http://schemas.microsoft.com/office/drawing/2014/main" id="{00000000-0008-0000-0000-0000DB350A00}"/>
            </a:ext>
          </a:extLst>
        </xdr:cNvPr>
        <xdr:cNvSpPr txBox="1">
          <a:spLocks noChangeArrowheads="1"/>
        </xdr:cNvSpPr>
      </xdr:nvSpPr>
      <xdr:spPr bwMode="auto">
        <a:xfrm>
          <a:off x="1333500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48" name="Text Box 358">
          <a:extLst>
            <a:ext uri="{FF2B5EF4-FFF2-40B4-BE49-F238E27FC236}">
              <a16:creationId xmlns="" xmlns:a16="http://schemas.microsoft.com/office/drawing/2014/main" id="{00000000-0008-0000-0000-0000DC350A00}"/>
            </a:ext>
          </a:extLst>
        </xdr:cNvPr>
        <xdr:cNvSpPr txBox="1">
          <a:spLocks noChangeArrowheads="1"/>
        </xdr:cNvSpPr>
      </xdr:nvSpPr>
      <xdr:spPr bwMode="auto">
        <a:xfrm>
          <a:off x="1333500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149" name="Text Box 359">
          <a:extLst>
            <a:ext uri="{FF2B5EF4-FFF2-40B4-BE49-F238E27FC236}">
              <a16:creationId xmlns="" xmlns:a16="http://schemas.microsoft.com/office/drawing/2014/main" id="{00000000-0008-0000-0000-0000DD350A00}"/>
            </a:ext>
          </a:extLst>
        </xdr:cNvPr>
        <xdr:cNvSpPr txBox="1">
          <a:spLocks noChangeArrowheads="1"/>
        </xdr:cNvSpPr>
      </xdr:nvSpPr>
      <xdr:spPr bwMode="auto">
        <a:xfrm>
          <a:off x="1362075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50" name="Text Box 360">
          <a:extLst>
            <a:ext uri="{FF2B5EF4-FFF2-40B4-BE49-F238E27FC236}">
              <a16:creationId xmlns="" xmlns:a16="http://schemas.microsoft.com/office/drawing/2014/main" id="{00000000-0008-0000-0000-0000DE350A00}"/>
            </a:ext>
          </a:extLst>
        </xdr:cNvPr>
        <xdr:cNvSpPr txBox="1">
          <a:spLocks noChangeArrowheads="1"/>
        </xdr:cNvSpPr>
      </xdr:nvSpPr>
      <xdr:spPr bwMode="auto">
        <a:xfrm>
          <a:off x="1333500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151" name="Text Box 361">
          <a:extLst>
            <a:ext uri="{FF2B5EF4-FFF2-40B4-BE49-F238E27FC236}">
              <a16:creationId xmlns="" xmlns:a16="http://schemas.microsoft.com/office/drawing/2014/main" id="{00000000-0008-0000-0000-0000DF350A00}"/>
            </a:ext>
          </a:extLst>
        </xdr:cNvPr>
        <xdr:cNvSpPr txBox="1">
          <a:spLocks noChangeArrowheads="1"/>
        </xdr:cNvSpPr>
      </xdr:nvSpPr>
      <xdr:spPr bwMode="auto">
        <a:xfrm>
          <a:off x="1362075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52" name="Text Box 362">
          <a:extLst>
            <a:ext uri="{FF2B5EF4-FFF2-40B4-BE49-F238E27FC236}">
              <a16:creationId xmlns="" xmlns:a16="http://schemas.microsoft.com/office/drawing/2014/main" id="{00000000-0008-0000-0000-0000E0350A00}"/>
            </a:ext>
          </a:extLst>
        </xdr:cNvPr>
        <xdr:cNvSpPr txBox="1">
          <a:spLocks noChangeArrowheads="1"/>
        </xdr:cNvSpPr>
      </xdr:nvSpPr>
      <xdr:spPr bwMode="auto">
        <a:xfrm>
          <a:off x="1333500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53" name="Text Box 363">
          <a:extLst>
            <a:ext uri="{FF2B5EF4-FFF2-40B4-BE49-F238E27FC236}">
              <a16:creationId xmlns="" xmlns:a16="http://schemas.microsoft.com/office/drawing/2014/main" id="{00000000-0008-0000-0000-0000E1350A00}"/>
            </a:ext>
          </a:extLst>
        </xdr:cNvPr>
        <xdr:cNvSpPr txBox="1">
          <a:spLocks noChangeArrowheads="1"/>
        </xdr:cNvSpPr>
      </xdr:nvSpPr>
      <xdr:spPr bwMode="auto">
        <a:xfrm>
          <a:off x="1333500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54" name="Text Box 364">
          <a:extLst>
            <a:ext uri="{FF2B5EF4-FFF2-40B4-BE49-F238E27FC236}">
              <a16:creationId xmlns="" xmlns:a16="http://schemas.microsoft.com/office/drawing/2014/main" id="{00000000-0008-0000-0000-0000E2350A00}"/>
            </a:ext>
          </a:extLst>
        </xdr:cNvPr>
        <xdr:cNvSpPr txBox="1">
          <a:spLocks noChangeArrowheads="1"/>
        </xdr:cNvSpPr>
      </xdr:nvSpPr>
      <xdr:spPr bwMode="auto">
        <a:xfrm>
          <a:off x="1333500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55" name="Text Box 365">
          <a:extLst>
            <a:ext uri="{FF2B5EF4-FFF2-40B4-BE49-F238E27FC236}">
              <a16:creationId xmlns="" xmlns:a16="http://schemas.microsoft.com/office/drawing/2014/main" id="{00000000-0008-0000-0000-0000E3350A00}"/>
            </a:ext>
          </a:extLst>
        </xdr:cNvPr>
        <xdr:cNvSpPr txBox="1">
          <a:spLocks noChangeArrowheads="1"/>
        </xdr:cNvSpPr>
      </xdr:nvSpPr>
      <xdr:spPr bwMode="auto">
        <a:xfrm>
          <a:off x="1333500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56" name="Text Box 366">
          <a:extLst>
            <a:ext uri="{FF2B5EF4-FFF2-40B4-BE49-F238E27FC236}">
              <a16:creationId xmlns="" xmlns:a16="http://schemas.microsoft.com/office/drawing/2014/main" id="{00000000-0008-0000-0000-0000E4350A00}"/>
            </a:ext>
          </a:extLst>
        </xdr:cNvPr>
        <xdr:cNvSpPr txBox="1">
          <a:spLocks noChangeArrowheads="1"/>
        </xdr:cNvSpPr>
      </xdr:nvSpPr>
      <xdr:spPr bwMode="auto">
        <a:xfrm>
          <a:off x="1333500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57" name="Text Box 367">
          <a:extLst>
            <a:ext uri="{FF2B5EF4-FFF2-40B4-BE49-F238E27FC236}">
              <a16:creationId xmlns="" xmlns:a16="http://schemas.microsoft.com/office/drawing/2014/main" id="{00000000-0008-0000-0000-0000E5350A00}"/>
            </a:ext>
          </a:extLst>
        </xdr:cNvPr>
        <xdr:cNvSpPr txBox="1">
          <a:spLocks noChangeArrowheads="1"/>
        </xdr:cNvSpPr>
      </xdr:nvSpPr>
      <xdr:spPr bwMode="auto">
        <a:xfrm>
          <a:off x="1333500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58" name="Text Box 368">
          <a:extLst>
            <a:ext uri="{FF2B5EF4-FFF2-40B4-BE49-F238E27FC236}">
              <a16:creationId xmlns="" xmlns:a16="http://schemas.microsoft.com/office/drawing/2014/main" id="{00000000-0008-0000-0000-0000E6350A00}"/>
            </a:ext>
          </a:extLst>
        </xdr:cNvPr>
        <xdr:cNvSpPr txBox="1">
          <a:spLocks noChangeArrowheads="1"/>
        </xdr:cNvSpPr>
      </xdr:nvSpPr>
      <xdr:spPr bwMode="auto">
        <a:xfrm>
          <a:off x="1333500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59" name="Text Box 369">
          <a:extLst>
            <a:ext uri="{FF2B5EF4-FFF2-40B4-BE49-F238E27FC236}">
              <a16:creationId xmlns="" xmlns:a16="http://schemas.microsoft.com/office/drawing/2014/main" id="{00000000-0008-0000-0000-0000E7350A00}"/>
            </a:ext>
          </a:extLst>
        </xdr:cNvPr>
        <xdr:cNvSpPr txBox="1">
          <a:spLocks noChangeArrowheads="1"/>
        </xdr:cNvSpPr>
      </xdr:nvSpPr>
      <xdr:spPr bwMode="auto">
        <a:xfrm>
          <a:off x="1333500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60" name="Text Box 370">
          <a:extLst>
            <a:ext uri="{FF2B5EF4-FFF2-40B4-BE49-F238E27FC236}">
              <a16:creationId xmlns="" xmlns:a16="http://schemas.microsoft.com/office/drawing/2014/main" id="{00000000-0008-0000-0000-0000E8350A00}"/>
            </a:ext>
          </a:extLst>
        </xdr:cNvPr>
        <xdr:cNvSpPr txBox="1">
          <a:spLocks noChangeArrowheads="1"/>
        </xdr:cNvSpPr>
      </xdr:nvSpPr>
      <xdr:spPr bwMode="auto">
        <a:xfrm>
          <a:off x="1333500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61" name="Text Box 371">
          <a:extLst>
            <a:ext uri="{FF2B5EF4-FFF2-40B4-BE49-F238E27FC236}">
              <a16:creationId xmlns="" xmlns:a16="http://schemas.microsoft.com/office/drawing/2014/main" id="{00000000-0008-0000-0000-0000E9350A00}"/>
            </a:ext>
          </a:extLst>
        </xdr:cNvPr>
        <xdr:cNvSpPr txBox="1">
          <a:spLocks noChangeArrowheads="1"/>
        </xdr:cNvSpPr>
      </xdr:nvSpPr>
      <xdr:spPr bwMode="auto">
        <a:xfrm>
          <a:off x="1333500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62" name="Text Box 372">
          <a:extLst>
            <a:ext uri="{FF2B5EF4-FFF2-40B4-BE49-F238E27FC236}">
              <a16:creationId xmlns="" xmlns:a16="http://schemas.microsoft.com/office/drawing/2014/main" id="{00000000-0008-0000-0000-0000EA350A00}"/>
            </a:ext>
          </a:extLst>
        </xdr:cNvPr>
        <xdr:cNvSpPr txBox="1">
          <a:spLocks noChangeArrowheads="1"/>
        </xdr:cNvSpPr>
      </xdr:nvSpPr>
      <xdr:spPr bwMode="auto">
        <a:xfrm>
          <a:off x="1333500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63" name="Text Box 373">
          <a:extLst>
            <a:ext uri="{FF2B5EF4-FFF2-40B4-BE49-F238E27FC236}">
              <a16:creationId xmlns="" xmlns:a16="http://schemas.microsoft.com/office/drawing/2014/main" id="{00000000-0008-0000-0000-0000EB350A00}"/>
            </a:ext>
          </a:extLst>
        </xdr:cNvPr>
        <xdr:cNvSpPr txBox="1">
          <a:spLocks noChangeArrowheads="1"/>
        </xdr:cNvSpPr>
      </xdr:nvSpPr>
      <xdr:spPr bwMode="auto">
        <a:xfrm>
          <a:off x="1333500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64" name="Text Box 374">
          <a:extLst>
            <a:ext uri="{FF2B5EF4-FFF2-40B4-BE49-F238E27FC236}">
              <a16:creationId xmlns="" xmlns:a16="http://schemas.microsoft.com/office/drawing/2014/main" id="{00000000-0008-0000-0000-0000EC350A00}"/>
            </a:ext>
          </a:extLst>
        </xdr:cNvPr>
        <xdr:cNvSpPr txBox="1">
          <a:spLocks noChangeArrowheads="1"/>
        </xdr:cNvSpPr>
      </xdr:nvSpPr>
      <xdr:spPr bwMode="auto">
        <a:xfrm>
          <a:off x="1333500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65" name="Text Box 375">
          <a:extLst>
            <a:ext uri="{FF2B5EF4-FFF2-40B4-BE49-F238E27FC236}">
              <a16:creationId xmlns="" xmlns:a16="http://schemas.microsoft.com/office/drawing/2014/main" id="{00000000-0008-0000-0000-0000ED350A00}"/>
            </a:ext>
          </a:extLst>
        </xdr:cNvPr>
        <xdr:cNvSpPr txBox="1">
          <a:spLocks noChangeArrowheads="1"/>
        </xdr:cNvSpPr>
      </xdr:nvSpPr>
      <xdr:spPr bwMode="auto">
        <a:xfrm>
          <a:off x="1333500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66" name="Text Box 376">
          <a:extLst>
            <a:ext uri="{FF2B5EF4-FFF2-40B4-BE49-F238E27FC236}">
              <a16:creationId xmlns="" xmlns:a16="http://schemas.microsoft.com/office/drawing/2014/main" id="{00000000-0008-0000-0000-0000EE350A00}"/>
            </a:ext>
          </a:extLst>
        </xdr:cNvPr>
        <xdr:cNvSpPr txBox="1">
          <a:spLocks noChangeArrowheads="1"/>
        </xdr:cNvSpPr>
      </xdr:nvSpPr>
      <xdr:spPr bwMode="auto">
        <a:xfrm>
          <a:off x="1333500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67" name="Text Box 377">
          <a:extLst>
            <a:ext uri="{FF2B5EF4-FFF2-40B4-BE49-F238E27FC236}">
              <a16:creationId xmlns="" xmlns:a16="http://schemas.microsoft.com/office/drawing/2014/main" id="{00000000-0008-0000-0000-0000EF350A00}"/>
            </a:ext>
          </a:extLst>
        </xdr:cNvPr>
        <xdr:cNvSpPr txBox="1">
          <a:spLocks noChangeArrowheads="1"/>
        </xdr:cNvSpPr>
      </xdr:nvSpPr>
      <xdr:spPr bwMode="auto">
        <a:xfrm>
          <a:off x="1333500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68" name="Text Box 378">
          <a:extLst>
            <a:ext uri="{FF2B5EF4-FFF2-40B4-BE49-F238E27FC236}">
              <a16:creationId xmlns="" xmlns:a16="http://schemas.microsoft.com/office/drawing/2014/main" id="{00000000-0008-0000-0000-0000F0350A00}"/>
            </a:ext>
          </a:extLst>
        </xdr:cNvPr>
        <xdr:cNvSpPr txBox="1">
          <a:spLocks noChangeArrowheads="1"/>
        </xdr:cNvSpPr>
      </xdr:nvSpPr>
      <xdr:spPr bwMode="auto">
        <a:xfrm>
          <a:off x="1333500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69" name="Text Box 379">
          <a:extLst>
            <a:ext uri="{FF2B5EF4-FFF2-40B4-BE49-F238E27FC236}">
              <a16:creationId xmlns="" xmlns:a16="http://schemas.microsoft.com/office/drawing/2014/main" id="{00000000-0008-0000-0000-0000F1350A00}"/>
            </a:ext>
          </a:extLst>
        </xdr:cNvPr>
        <xdr:cNvSpPr txBox="1">
          <a:spLocks noChangeArrowheads="1"/>
        </xdr:cNvSpPr>
      </xdr:nvSpPr>
      <xdr:spPr bwMode="auto">
        <a:xfrm>
          <a:off x="1333500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70" name="Text Box 380">
          <a:extLst>
            <a:ext uri="{FF2B5EF4-FFF2-40B4-BE49-F238E27FC236}">
              <a16:creationId xmlns="" xmlns:a16="http://schemas.microsoft.com/office/drawing/2014/main" id="{00000000-0008-0000-0000-0000F2350A00}"/>
            </a:ext>
          </a:extLst>
        </xdr:cNvPr>
        <xdr:cNvSpPr txBox="1">
          <a:spLocks noChangeArrowheads="1"/>
        </xdr:cNvSpPr>
      </xdr:nvSpPr>
      <xdr:spPr bwMode="auto">
        <a:xfrm>
          <a:off x="1333500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71" name="Text Box 381">
          <a:extLst>
            <a:ext uri="{FF2B5EF4-FFF2-40B4-BE49-F238E27FC236}">
              <a16:creationId xmlns="" xmlns:a16="http://schemas.microsoft.com/office/drawing/2014/main" id="{00000000-0008-0000-0000-0000F3350A00}"/>
            </a:ext>
          </a:extLst>
        </xdr:cNvPr>
        <xdr:cNvSpPr txBox="1">
          <a:spLocks noChangeArrowheads="1"/>
        </xdr:cNvSpPr>
      </xdr:nvSpPr>
      <xdr:spPr bwMode="auto">
        <a:xfrm>
          <a:off x="1333500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72" name="Text Box 382">
          <a:extLst>
            <a:ext uri="{FF2B5EF4-FFF2-40B4-BE49-F238E27FC236}">
              <a16:creationId xmlns="" xmlns:a16="http://schemas.microsoft.com/office/drawing/2014/main" id="{00000000-0008-0000-0000-0000F4350A00}"/>
            </a:ext>
          </a:extLst>
        </xdr:cNvPr>
        <xdr:cNvSpPr txBox="1">
          <a:spLocks noChangeArrowheads="1"/>
        </xdr:cNvSpPr>
      </xdr:nvSpPr>
      <xdr:spPr bwMode="auto">
        <a:xfrm>
          <a:off x="1333500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73" name="Text Box 383">
          <a:extLst>
            <a:ext uri="{FF2B5EF4-FFF2-40B4-BE49-F238E27FC236}">
              <a16:creationId xmlns="" xmlns:a16="http://schemas.microsoft.com/office/drawing/2014/main" id="{00000000-0008-0000-0000-0000F5350A00}"/>
            </a:ext>
          </a:extLst>
        </xdr:cNvPr>
        <xdr:cNvSpPr txBox="1">
          <a:spLocks noChangeArrowheads="1"/>
        </xdr:cNvSpPr>
      </xdr:nvSpPr>
      <xdr:spPr bwMode="auto">
        <a:xfrm>
          <a:off x="1333500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74" name="Text Box 384">
          <a:extLst>
            <a:ext uri="{FF2B5EF4-FFF2-40B4-BE49-F238E27FC236}">
              <a16:creationId xmlns="" xmlns:a16="http://schemas.microsoft.com/office/drawing/2014/main" id="{00000000-0008-0000-0000-0000F6350A00}"/>
            </a:ext>
          </a:extLst>
        </xdr:cNvPr>
        <xdr:cNvSpPr txBox="1">
          <a:spLocks noChangeArrowheads="1"/>
        </xdr:cNvSpPr>
      </xdr:nvSpPr>
      <xdr:spPr bwMode="auto">
        <a:xfrm>
          <a:off x="1333500" y="134207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75" name="Text Box 387">
          <a:extLst>
            <a:ext uri="{FF2B5EF4-FFF2-40B4-BE49-F238E27FC236}">
              <a16:creationId xmlns="" xmlns:a16="http://schemas.microsoft.com/office/drawing/2014/main" id="{00000000-0008-0000-0000-0000F735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176" name="Text Box 388">
          <a:extLst>
            <a:ext uri="{FF2B5EF4-FFF2-40B4-BE49-F238E27FC236}">
              <a16:creationId xmlns="" xmlns:a16="http://schemas.microsoft.com/office/drawing/2014/main" id="{00000000-0008-0000-0000-0000F8350A00}"/>
            </a:ext>
          </a:extLst>
        </xdr:cNvPr>
        <xdr:cNvSpPr txBox="1">
          <a:spLocks noChangeArrowheads="1"/>
        </xdr:cNvSpPr>
      </xdr:nvSpPr>
      <xdr:spPr bwMode="auto">
        <a:xfrm>
          <a:off x="1362075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77" name="Text Box 389">
          <a:extLst>
            <a:ext uri="{FF2B5EF4-FFF2-40B4-BE49-F238E27FC236}">
              <a16:creationId xmlns="" xmlns:a16="http://schemas.microsoft.com/office/drawing/2014/main" id="{00000000-0008-0000-0000-0000F935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178" name="Text Box 390">
          <a:extLst>
            <a:ext uri="{FF2B5EF4-FFF2-40B4-BE49-F238E27FC236}">
              <a16:creationId xmlns="" xmlns:a16="http://schemas.microsoft.com/office/drawing/2014/main" id="{00000000-0008-0000-0000-0000FA350A00}"/>
            </a:ext>
          </a:extLst>
        </xdr:cNvPr>
        <xdr:cNvSpPr txBox="1">
          <a:spLocks noChangeArrowheads="1"/>
        </xdr:cNvSpPr>
      </xdr:nvSpPr>
      <xdr:spPr bwMode="auto">
        <a:xfrm>
          <a:off x="1362075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79" name="Text Box 391">
          <a:extLst>
            <a:ext uri="{FF2B5EF4-FFF2-40B4-BE49-F238E27FC236}">
              <a16:creationId xmlns="" xmlns:a16="http://schemas.microsoft.com/office/drawing/2014/main" id="{00000000-0008-0000-0000-0000FB35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180" name="Text Box 392">
          <a:extLst>
            <a:ext uri="{FF2B5EF4-FFF2-40B4-BE49-F238E27FC236}">
              <a16:creationId xmlns="" xmlns:a16="http://schemas.microsoft.com/office/drawing/2014/main" id="{00000000-0008-0000-0000-0000FC350A00}"/>
            </a:ext>
          </a:extLst>
        </xdr:cNvPr>
        <xdr:cNvSpPr txBox="1">
          <a:spLocks noChangeArrowheads="1"/>
        </xdr:cNvSpPr>
      </xdr:nvSpPr>
      <xdr:spPr bwMode="auto">
        <a:xfrm>
          <a:off x="1362075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81" name="Text Box 393">
          <a:extLst>
            <a:ext uri="{FF2B5EF4-FFF2-40B4-BE49-F238E27FC236}">
              <a16:creationId xmlns="" xmlns:a16="http://schemas.microsoft.com/office/drawing/2014/main" id="{00000000-0008-0000-0000-0000FD35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82" name="Text Box 394">
          <a:extLst>
            <a:ext uri="{FF2B5EF4-FFF2-40B4-BE49-F238E27FC236}">
              <a16:creationId xmlns="" xmlns:a16="http://schemas.microsoft.com/office/drawing/2014/main" id="{00000000-0008-0000-0000-0000FE35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183" name="Text Box 395">
          <a:extLst>
            <a:ext uri="{FF2B5EF4-FFF2-40B4-BE49-F238E27FC236}">
              <a16:creationId xmlns="" xmlns:a16="http://schemas.microsoft.com/office/drawing/2014/main" id="{00000000-0008-0000-0000-0000FF350A00}"/>
            </a:ext>
          </a:extLst>
        </xdr:cNvPr>
        <xdr:cNvSpPr txBox="1">
          <a:spLocks noChangeArrowheads="1"/>
        </xdr:cNvSpPr>
      </xdr:nvSpPr>
      <xdr:spPr bwMode="auto">
        <a:xfrm>
          <a:off x="1362075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84" name="Text Box 396">
          <a:extLst>
            <a:ext uri="{FF2B5EF4-FFF2-40B4-BE49-F238E27FC236}">
              <a16:creationId xmlns="" xmlns:a16="http://schemas.microsoft.com/office/drawing/2014/main" id="{00000000-0008-0000-0000-000000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185" name="Text Box 397">
          <a:extLst>
            <a:ext uri="{FF2B5EF4-FFF2-40B4-BE49-F238E27FC236}">
              <a16:creationId xmlns="" xmlns:a16="http://schemas.microsoft.com/office/drawing/2014/main" id="{00000000-0008-0000-0000-000001360A00}"/>
            </a:ext>
          </a:extLst>
        </xdr:cNvPr>
        <xdr:cNvSpPr txBox="1">
          <a:spLocks noChangeArrowheads="1"/>
        </xdr:cNvSpPr>
      </xdr:nvSpPr>
      <xdr:spPr bwMode="auto">
        <a:xfrm>
          <a:off x="1362075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86" name="Text Box 398">
          <a:extLst>
            <a:ext uri="{FF2B5EF4-FFF2-40B4-BE49-F238E27FC236}">
              <a16:creationId xmlns="" xmlns:a16="http://schemas.microsoft.com/office/drawing/2014/main" id="{00000000-0008-0000-0000-000002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87" name="Text Box 399">
          <a:extLst>
            <a:ext uri="{FF2B5EF4-FFF2-40B4-BE49-F238E27FC236}">
              <a16:creationId xmlns="" xmlns:a16="http://schemas.microsoft.com/office/drawing/2014/main" id="{00000000-0008-0000-0000-000003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188" name="Text Box 400">
          <a:extLst>
            <a:ext uri="{FF2B5EF4-FFF2-40B4-BE49-F238E27FC236}">
              <a16:creationId xmlns="" xmlns:a16="http://schemas.microsoft.com/office/drawing/2014/main" id="{00000000-0008-0000-0000-000004360A00}"/>
            </a:ext>
          </a:extLst>
        </xdr:cNvPr>
        <xdr:cNvSpPr txBox="1">
          <a:spLocks noChangeArrowheads="1"/>
        </xdr:cNvSpPr>
      </xdr:nvSpPr>
      <xdr:spPr bwMode="auto">
        <a:xfrm>
          <a:off x="1362075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89" name="Text Box 401">
          <a:extLst>
            <a:ext uri="{FF2B5EF4-FFF2-40B4-BE49-F238E27FC236}">
              <a16:creationId xmlns="" xmlns:a16="http://schemas.microsoft.com/office/drawing/2014/main" id="{00000000-0008-0000-0000-000005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190" name="Text Box 402">
          <a:extLst>
            <a:ext uri="{FF2B5EF4-FFF2-40B4-BE49-F238E27FC236}">
              <a16:creationId xmlns="" xmlns:a16="http://schemas.microsoft.com/office/drawing/2014/main" id="{00000000-0008-0000-0000-000006360A00}"/>
            </a:ext>
          </a:extLst>
        </xdr:cNvPr>
        <xdr:cNvSpPr txBox="1">
          <a:spLocks noChangeArrowheads="1"/>
        </xdr:cNvSpPr>
      </xdr:nvSpPr>
      <xdr:spPr bwMode="auto">
        <a:xfrm>
          <a:off x="1362075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91" name="Text Box 403">
          <a:extLst>
            <a:ext uri="{FF2B5EF4-FFF2-40B4-BE49-F238E27FC236}">
              <a16:creationId xmlns="" xmlns:a16="http://schemas.microsoft.com/office/drawing/2014/main" id="{00000000-0008-0000-0000-000007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192" name="Text Box 404">
          <a:extLst>
            <a:ext uri="{FF2B5EF4-FFF2-40B4-BE49-F238E27FC236}">
              <a16:creationId xmlns="" xmlns:a16="http://schemas.microsoft.com/office/drawing/2014/main" id="{00000000-0008-0000-0000-000008360A00}"/>
            </a:ext>
          </a:extLst>
        </xdr:cNvPr>
        <xdr:cNvSpPr txBox="1">
          <a:spLocks noChangeArrowheads="1"/>
        </xdr:cNvSpPr>
      </xdr:nvSpPr>
      <xdr:spPr bwMode="auto">
        <a:xfrm>
          <a:off x="1362075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93" name="Text Box 405">
          <a:extLst>
            <a:ext uri="{FF2B5EF4-FFF2-40B4-BE49-F238E27FC236}">
              <a16:creationId xmlns="" xmlns:a16="http://schemas.microsoft.com/office/drawing/2014/main" id="{00000000-0008-0000-0000-000009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94" name="Text Box 406">
          <a:extLst>
            <a:ext uri="{FF2B5EF4-FFF2-40B4-BE49-F238E27FC236}">
              <a16:creationId xmlns="" xmlns:a16="http://schemas.microsoft.com/office/drawing/2014/main" id="{00000000-0008-0000-0000-00000A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195" name="Text Box 407">
          <a:extLst>
            <a:ext uri="{FF2B5EF4-FFF2-40B4-BE49-F238E27FC236}">
              <a16:creationId xmlns="" xmlns:a16="http://schemas.microsoft.com/office/drawing/2014/main" id="{00000000-0008-0000-0000-00000B360A00}"/>
            </a:ext>
          </a:extLst>
        </xdr:cNvPr>
        <xdr:cNvSpPr txBox="1">
          <a:spLocks noChangeArrowheads="1"/>
        </xdr:cNvSpPr>
      </xdr:nvSpPr>
      <xdr:spPr bwMode="auto">
        <a:xfrm>
          <a:off x="1362075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96" name="Text Box 408">
          <a:extLst>
            <a:ext uri="{FF2B5EF4-FFF2-40B4-BE49-F238E27FC236}">
              <a16:creationId xmlns="" xmlns:a16="http://schemas.microsoft.com/office/drawing/2014/main" id="{00000000-0008-0000-0000-00000C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197" name="Text Box 409">
          <a:extLst>
            <a:ext uri="{FF2B5EF4-FFF2-40B4-BE49-F238E27FC236}">
              <a16:creationId xmlns="" xmlns:a16="http://schemas.microsoft.com/office/drawing/2014/main" id="{00000000-0008-0000-0000-00000D360A00}"/>
            </a:ext>
          </a:extLst>
        </xdr:cNvPr>
        <xdr:cNvSpPr txBox="1">
          <a:spLocks noChangeArrowheads="1"/>
        </xdr:cNvSpPr>
      </xdr:nvSpPr>
      <xdr:spPr bwMode="auto">
        <a:xfrm>
          <a:off x="1362075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98" name="Text Box 410">
          <a:extLst>
            <a:ext uri="{FF2B5EF4-FFF2-40B4-BE49-F238E27FC236}">
              <a16:creationId xmlns="" xmlns:a16="http://schemas.microsoft.com/office/drawing/2014/main" id="{00000000-0008-0000-0000-00000E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199" name="Text Box 411">
          <a:extLst>
            <a:ext uri="{FF2B5EF4-FFF2-40B4-BE49-F238E27FC236}">
              <a16:creationId xmlns="" xmlns:a16="http://schemas.microsoft.com/office/drawing/2014/main" id="{00000000-0008-0000-0000-00000F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00" name="Text Box 412">
          <a:extLst>
            <a:ext uri="{FF2B5EF4-FFF2-40B4-BE49-F238E27FC236}">
              <a16:creationId xmlns="" xmlns:a16="http://schemas.microsoft.com/office/drawing/2014/main" id="{00000000-0008-0000-0000-000010360A00}"/>
            </a:ext>
          </a:extLst>
        </xdr:cNvPr>
        <xdr:cNvSpPr txBox="1">
          <a:spLocks noChangeArrowheads="1"/>
        </xdr:cNvSpPr>
      </xdr:nvSpPr>
      <xdr:spPr bwMode="auto">
        <a:xfrm>
          <a:off x="1362075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01" name="Text Box 413">
          <a:extLst>
            <a:ext uri="{FF2B5EF4-FFF2-40B4-BE49-F238E27FC236}">
              <a16:creationId xmlns="" xmlns:a16="http://schemas.microsoft.com/office/drawing/2014/main" id="{00000000-0008-0000-0000-000011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02" name="Text Box 414">
          <a:extLst>
            <a:ext uri="{FF2B5EF4-FFF2-40B4-BE49-F238E27FC236}">
              <a16:creationId xmlns="" xmlns:a16="http://schemas.microsoft.com/office/drawing/2014/main" id="{00000000-0008-0000-0000-000012360A00}"/>
            </a:ext>
          </a:extLst>
        </xdr:cNvPr>
        <xdr:cNvSpPr txBox="1">
          <a:spLocks noChangeArrowheads="1"/>
        </xdr:cNvSpPr>
      </xdr:nvSpPr>
      <xdr:spPr bwMode="auto">
        <a:xfrm>
          <a:off x="1362075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03" name="Text Box 415">
          <a:extLst>
            <a:ext uri="{FF2B5EF4-FFF2-40B4-BE49-F238E27FC236}">
              <a16:creationId xmlns="" xmlns:a16="http://schemas.microsoft.com/office/drawing/2014/main" id="{00000000-0008-0000-0000-000013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04" name="Text Box 416">
          <a:extLst>
            <a:ext uri="{FF2B5EF4-FFF2-40B4-BE49-F238E27FC236}">
              <a16:creationId xmlns="" xmlns:a16="http://schemas.microsoft.com/office/drawing/2014/main" id="{00000000-0008-0000-0000-000014360A00}"/>
            </a:ext>
          </a:extLst>
        </xdr:cNvPr>
        <xdr:cNvSpPr txBox="1">
          <a:spLocks noChangeArrowheads="1"/>
        </xdr:cNvSpPr>
      </xdr:nvSpPr>
      <xdr:spPr bwMode="auto">
        <a:xfrm>
          <a:off x="1362075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05" name="Text Box 417">
          <a:extLst>
            <a:ext uri="{FF2B5EF4-FFF2-40B4-BE49-F238E27FC236}">
              <a16:creationId xmlns="" xmlns:a16="http://schemas.microsoft.com/office/drawing/2014/main" id="{00000000-0008-0000-0000-000015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06" name="Text Box 418">
          <a:extLst>
            <a:ext uri="{FF2B5EF4-FFF2-40B4-BE49-F238E27FC236}">
              <a16:creationId xmlns="" xmlns:a16="http://schemas.microsoft.com/office/drawing/2014/main" id="{00000000-0008-0000-0000-000016360A00}"/>
            </a:ext>
          </a:extLst>
        </xdr:cNvPr>
        <xdr:cNvSpPr txBox="1">
          <a:spLocks noChangeArrowheads="1"/>
        </xdr:cNvSpPr>
      </xdr:nvSpPr>
      <xdr:spPr bwMode="auto">
        <a:xfrm>
          <a:off x="1362075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07" name="Text Box 419">
          <a:extLst>
            <a:ext uri="{FF2B5EF4-FFF2-40B4-BE49-F238E27FC236}">
              <a16:creationId xmlns="" xmlns:a16="http://schemas.microsoft.com/office/drawing/2014/main" id="{00000000-0008-0000-0000-000017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08" name="Text Box 420">
          <a:extLst>
            <a:ext uri="{FF2B5EF4-FFF2-40B4-BE49-F238E27FC236}">
              <a16:creationId xmlns="" xmlns:a16="http://schemas.microsoft.com/office/drawing/2014/main" id="{00000000-0008-0000-0000-000018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09" name="Text Box 421">
          <a:extLst>
            <a:ext uri="{FF2B5EF4-FFF2-40B4-BE49-F238E27FC236}">
              <a16:creationId xmlns="" xmlns:a16="http://schemas.microsoft.com/office/drawing/2014/main" id="{00000000-0008-0000-0000-000019360A00}"/>
            </a:ext>
          </a:extLst>
        </xdr:cNvPr>
        <xdr:cNvSpPr txBox="1">
          <a:spLocks noChangeArrowheads="1"/>
        </xdr:cNvSpPr>
      </xdr:nvSpPr>
      <xdr:spPr bwMode="auto">
        <a:xfrm>
          <a:off x="1362075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10" name="Text Box 422">
          <a:extLst>
            <a:ext uri="{FF2B5EF4-FFF2-40B4-BE49-F238E27FC236}">
              <a16:creationId xmlns="" xmlns:a16="http://schemas.microsoft.com/office/drawing/2014/main" id="{00000000-0008-0000-0000-00001A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11" name="Text Box 423">
          <a:extLst>
            <a:ext uri="{FF2B5EF4-FFF2-40B4-BE49-F238E27FC236}">
              <a16:creationId xmlns="" xmlns:a16="http://schemas.microsoft.com/office/drawing/2014/main" id="{00000000-0008-0000-0000-00001B360A00}"/>
            </a:ext>
          </a:extLst>
        </xdr:cNvPr>
        <xdr:cNvSpPr txBox="1">
          <a:spLocks noChangeArrowheads="1"/>
        </xdr:cNvSpPr>
      </xdr:nvSpPr>
      <xdr:spPr bwMode="auto">
        <a:xfrm>
          <a:off x="1362075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12" name="Text Box 424">
          <a:extLst>
            <a:ext uri="{FF2B5EF4-FFF2-40B4-BE49-F238E27FC236}">
              <a16:creationId xmlns="" xmlns:a16="http://schemas.microsoft.com/office/drawing/2014/main" id="{00000000-0008-0000-0000-00001C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13" name="Text Box 425">
          <a:extLst>
            <a:ext uri="{FF2B5EF4-FFF2-40B4-BE49-F238E27FC236}">
              <a16:creationId xmlns="" xmlns:a16="http://schemas.microsoft.com/office/drawing/2014/main" id="{00000000-0008-0000-0000-00001D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14" name="Text Box 426">
          <a:extLst>
            <a:ext uri="{FF2B5EF4-FFF2-40B4-BE49-F238E27FC236}">
              <a16:creationId xmlns="" xmlns:a16="http://schemas.microsoft.com/office/drawing/2014/main" id="{00000000-0008-0000-0000-00001E360A00}"/>
            </a:ext>
          </a:extLst>
        </xdr:cNvPr>
        <xdr:cNvSpPr txBox="1">
          <a:spLocks noChangeArrowheads="1"/>
        </xdr:cNvSpPr>
      </xdr:nvSpPr>
      <xdr:spPr bwMode="auto">
        <a:xfrm>
          <a:off x="1362075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15" name="Text Box 427">
          <a:extLst>
            <a:ext uri="{FF2B5EF4-FFF2-40B4-BE49-F238E27FC236}">
              <a16:creationId xmlns="" xmlns:a16="http://schemas.microsoft.com/office/drawing/2014/main" id="{00000000-0008-0000-0000-00001F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16" name="Text Box 428">
          <a:extLst>
            <a:ext uri="{FF2B5EF4-FFF2-40B4-BE49-F238E27FC236}">
              <a16:creationId xmlns="" xmlns:a16="http://schemas.microsoft.com/office/drawing/2014/main" id="{00000000-0008-0000-0000-000020360A00}"/>
            </a:ext>
          </a:extLst>
        </xdr:cNvPr>
        <xdr:cNvSpPr txBox="1">
          <a:spLocks noChangeArrowheads="1"/>
        </xdr:cNvSpPr>
      </xdr:nvSpPr>
      <xdr:spPr bwMode="auto">
        <a:xfrm>
          <a:off x="1362075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17" name="Text Box 429">
          <a:extLst>
            <a:ext uri="{FF2B5EF4-FFF2-40B4-BE49-F238E27FC236}">
              <a16:creationId xmlns="" xmlns:a16="http://schemas.microsoft.com/office/drawing/2014/main" id="{00000000-0008-0000-0000-000021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18" name="Text Box 430">
          <a:extLst>
            <a:ext uri="{FF2B5EF4-FFF2-40B4-BE49-F238E27FC236}">
              <a16:creationId xmlns="" xmlns:a16="http://schemas.microsoft.com/office/drawing/2014/main" id="{00000000-0008-0000-0000-000022360A00}"/>
            </a:ext>
          </a:extLst>
        </xdr:cNvPr>
        <xdr:cNvSpPr txBox="1">
          <a:spLocks noChangeArrowheads="1"/>
        </xdr:cNvSpPr>
      </xdr:nvSpPr>
      <xdr:spPr bwMode="auto">
        <a:xfrm>
          <a:off x="1362075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19" name="Text Box 431">
          <a:extLst>
            <a:ext uri="{FF2B5EF4-FFF2-40B4-BE49-F238E27FC236}">
              <a16:creationId xmlns="" xmlns:a16="http://schemas.microsoft.com/office/drawing/2014/main" id="{00000000-0008-0000-0000-000023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20" name="Text Box 432">
          <a:extLst>
            <a:ext uri="{FF2B5EF4-FFF2-40B4-BE49-F238E27FC236}">
              <a16:creationId xmlns="" xmlns:a16="http://schemas.microsoft.com/office/drawing/2014/main" id="{00000000-0008-0000-0000-000024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21" name="Text Box 433">
          <a:extLst>
            <a:ext uri="{FF2B5EF4-FFF2-40B4-BE49-F238E27FC236}">
              <a16:creationId xmlns="" xmlns:a16="http://schemas.microsoft.com/office/drawing/2014/main" id="{00000000-0008-0000-0000-000025360A00}"/>
            </a:ext>
          </a:extLst>
        </xdr:cNvPr>
        <xdr:cNvSpPr txBox="1">
          <a:spLocks noChangeArrowheads="1"/>
        </xdr:cNvSpPr>
      </xdr:nvSpPr>
      <xdr:spPr bwMode="auto">
        <a:xfrm>
          <a:off x="1362075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22" name="Text Box 434">
          <a:extLst>
            <a:ext uri="{FF2B5EF4-FFF2-40B4-BE49-F238E27FC236}">
              <a16:creationId xmlns="" xmlns:a16="http://schemas.microsoft.com/office/drawing/2014/main" id="{00000000-0008-0000-0000-000026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23" name="Text Box 435">
          <a:extLst>
            <a:ext uri="{FF2B5EF4-FFF2-40B4-BE49-F238E27FC236}">
              <a16:creationId xmlns="" xmlns:a16="http://schemas.microsoft.com/office/drawing/2014/main" id="{00000000-0008-0000-0000-000027360A00}"/>
            </a:ext>
          </a:extLst>
        </xdr:cNvPr>
        <xdr:cNvSpPr txBox="1">
          <a:spLocks noChangeArrowheads="1"/>
        </xdr:cNvSpPr>
      </xdr:nvSpPr>
      <xdr:spPr bwMode="auto">
        <a:xfrm>
          <a:off x="1362075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24" name="Text Box 436">
          <a:extLst>
            <a:ext uri="{FF2B5EF4-FFF2-40B4-BE49-F238E27FC236}">
              <a16:creationId xmlns="" xmlns:a16="http://schemas.microsoft.com/office/drawing/2014/main" id="{00000000-0008-0000-0000-000028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25" name="Text Box 437">
          <a:extLst>
            <a:ext uri="{FF2B5EF4-FFF2-40B4-BE49-F238E27FC236}">
              <a16:creationId xmlns="" xmlns:a16="http://schemas.microsoft.com/office/drawing/2014/main" id="{00000000-0008-0000-0000-000029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26" name="Text Box 438">
          <a:extLst>
            <a:ext uri="{FF2B5EF4-FFF2-40B4-BE49-F238E27FC236}">
              <a16:creationId xmlns="" xmlns:a16="http://schemas.microsoft.com/office/drawing/2014/main" id="{00000000-0008-0000-0000-00002A360A00}"/>
            </a:ext>
          </a:extLst>
        </xdr:cNvPr>
        <xdr:cNvSpPr txBox="1">
          <a:spLocks noChangeArrowheads="1"/>
        </xdr:cNvSpPr>
      </xdr:nvSpPr>
      <xdr:spPr bwMode="auto">
        <a:xfrm>
          <a:off x="1362075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27" name="Text Box 439">
          <a:extLst>
            <a:ext uri="{FF2B5EF4-FFF2-40B4-BE49-F238E27FC236}">
              <a16:creationId xmlns="" xmlns:a16="http://schemas.microsoft.com/office/drawing/2014/main" id="{00000000-0008-0000-0000-00002B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28" name="Text Box 440">
          <a:extLst>
            <a:ext uri="{FF2B5EF4-FFF2-40B4-BE49-F238E27FC236}">
              <a16:creationId xmlns="" xmlns:a16="http://schemas.microsoft.com/office/drawing/2014/main" id="{00000000-0008-0000-0000-00002C360A00}"/>
            </a:ext>
          </a:extLst>
        </xdr:cNvPr>
        <xdr:cNvSpPr txBox="1">
          <a:spLocks noChangeArrowheads="1"/>
        </xdr:cNvSpPr>
      </xdr:nvSpPr>
      <xdr:spPr bwMode="auto">
        <a:xfrm>
          <a:off x="1362075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29" name="Text Box 441">
          <a:extLst>
            <a:ext uri="{FF2B5EF4-FFF2-40B4-BE49-F238E27FC236}">
              <a16:creationId xmlns="" xmlns:a16="http://schemas.microsoft.com/office/drawing/2014/main" id="{00000000-0008-0000-0000-00002D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30" name="Text Box 442">
          <a:extLst>
            <a:ext uri="{FF2B5EF4-FFF2-40B4-BE49-F238E27FC236}">
              <a16:creationId xmlns="" xmlns:a16="http://schemas.microsoft.com/office/drawing/2014/main" id="{00000000-0008-0000-0000-00002E360A00}"/>
            </a:ext>
          </a:extLst>
        </xdr:cNvPr>
        <xdr:cNvSpPr txBox="1">
          <a:spLocks noChangeArrowheads="1"/>
        </xdr:cNvSpPr>
      </xdr:nvSpPr>
      <xdr:spPr bwMode="auto">
        <a:xfrm>
          <a:off x="1362075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31" name="Text Box 443">
          <a:extLst>
            <a:ext uri="{FF2B5EF4-FFF2-40B4-BE49-F238E27FC236}">
              <a16:creationId xmlns="" xmlns:a16="http://schemas.microsoft.com/office/drawing/2014/main" id="{00000000-0008-0000-0000-00002F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32" name="Text Box 444">
          <a:extLst>
            <a:ext uri="{FF2B5EF4-FFF2-40B4-BE49-F238E27FC236}">
              <a16:creationId xmlns="" xmlns:a16="http://schemas.microsoft.com/office/drawing/2014/main" id="{00000000-0008-0000-0000-000030360A00}"/>
            </a:ext>
          </a:extLst>
        </xdr:cNvPr>
        <xdr:cNvSpPr txBox="1">
          <a:spLocks noChangeArrowheads="1"/>
        </xdr:cNvSpPr>
      </xdr:nvSpPr>
      <xdr:spPr bwMode="auto">
        <a:xfrm>
          <a:off x="1362075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33" name="Text Box 445">
          <a:extLst>
            <a:ext uri="{FF2B5EF4-FFF2-40B4-BE49-F238E27FC236}">
              <a16:creationId xmlns="" xmlns:a16="http://schemas.microsoft.com/office/drawing/2014/main" id="{00000000-0008-0000-0000-000031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34" name="Text Box 446">
          <a:extLst>
            <a:ext uri="{FF2B5EF4-FFF2-40B4-BE49-F238E27FC236}">
              <a16:creationId xmlns="" xmlns:a16="http://schemas.microsoft.com/office/drawing/2014/main" id="{00000000-0008-0000-0000-000032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35" name="Text Box 447">
          <a:extLst>
            <a:ext uri="{FF2B5EF4-FFF2-40B4-BE49-F238E27FC236}">
              <a16:creationId xmlns="" xmlns:a16="http://schemas.microsoft.com/office/drawing/2014/main" id="{00000000-0008-0000-0000-000033360A00}"/>
            </a:ext>
          </a:extLst>
        </xdr:cNvPr>
        <xdr:cNvSpPr txBox="1">
          <a:spLocks noChangeArrowheads="1"/>
        </xdr:cNvSpPr>
      </xdr:nvSpPr>
      <xdr:spPr bwMode="auto">
        <a:xfrm>
          <a:off x="1362075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36" name="Text Box 448">
          <a:extLst>
            <a:ext uri="{FF2B5EF4-FFF2-40B4-BE49-F238E27FC236}">
              <a16:creationId xmlns="" xmlns:a16="http://schemas.microsoft.com/office/drawing/2014/main" id="{00000000-0008-0000-0000-000034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37" name="Text Box 449">
          <a:extLst>
            <a:ext uri="{FF2B5EF4-FFF2-40B4-BE49-F238E27FC236}">
              <a16:creationId xmlns="" xmlns:a16="http://schemas.microsoft.com/office/drawing/2014/main" id="{00000000-0008-0000-0000-000035360A00}"/>
            </a:ext>
          </a:extLst>
        </xdr:cNvPr>
        <xdr:cNvSpPr txBox="1">
          <a:spLocks noChangeArrowheads="1"/>
        </xdr:cNvSpPr>
      </xdr:nvSpPr>
      <xdr:spPr bwMode="auto">
        <a:xfrm>
          <a:off x="1362075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38" name="Text Box 450">
          <a:extLst>
            <a:ext uri="{FF2B5EF4-FFF2-40B4-BE49-F238E27FC236}">
              <a16:creationId xmlns="" xmlns:a16="http://schemas.microsoft.com/office/drawing/2014/main" id="{00000000-0008-0000-0000-000036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39" name="Text Box 451">
          <a:extLst>
            <a:ext uri="{FF2B5EF4-FFF2-40B4-BE49-F238E27FC236}">
              <a16:creationId xmlns="" xmlns:a16="http://schemas.microsoft.com/office/drawing/2014/main" id="{00000000-0008-0000-0000-000037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40" name="Text Box 452">
          <a:extLst>
            <a:ext uri="{FF2B5EF4-FFF2-40B4-BE49-F238E27FC236}">
              <a16:creationId xmlns="" xmlns:a16="http://schemas.microsoft.com/office/drawing/2014/main" id="{00000000-0008-0000-0000-000038360A00}"/>
            </a:ext>
          </a:extLst>
        </xdr:cNvPr>
        <xdr:cNvSpPr txBox="1">
          <a:spLocks noChangeArrowheads="1"/>
        </xdr:cNvSpPr>
      </xdr:nvSpPr>
      <xdr:spPr bwMode="auto">
        <a:xfrm>
          <a:off x="1362075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41" name="Text Box 453">
          <a:extLst>
            <a:ext uri="{FF2B5EF4-FFF2-40B4-BE49-F238E27FC236}">
              <a16:creationId xmlns="" xmlns:a16="http://schemas.microsoft.com/office/drawing/2014/main" id="{00000000-0008-0000-0000-000039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42" name="Text Box 454">
          <a:extLst>
            <a:ext uri="{FF2B5EF4-FFF2-40B4-BE49-F238E27FC236}">
              <a16:creationId xmlns="" xmlns:a16="http://schemas.microsoft.com/office/drawing/2014/main" id="{00000000-0008-0000-0000-00003A360A00}"/>
            </a:ext>
          </a:extLst>
        </xdr:cNvPr>
        <xdr:cNvSpPr txBox="1">
          <a:spLocks noChangeArrowheads="1"/>
        </xdr:cNvSpPr>
      </xdr:nvSpPr>
      <xdr:spPr bwMode="auto">
        <a:xfrm>
          <a:off x="1362075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43" name="Text Box 455">
          <a:extLst>
            <a:ext uri="{FF2B5EF4-FFF2-40B4-BE49-F238E27FC236}">
              <a16:creationId xmlns="" xmlns:a16="http://schemas.microsoft.com/office/drawing/2014/main" id="{00000000-0008-0000-0000-00003B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44" name="Text Box 456">
          <a:extLst>
            <a:ext uri="{FF2B5EF4-FFF2-40B4-BE49-F238E27FC236}">
              <a16:creationId xmlns="" xmlns:a16="http://schemas.microsoft.com/office/drawing/2014/main" id="{00000000-0008-0000-0000-00003C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45" name="Text Box 457">
          <a:extLst>
            <a:ext uri="{FF2B5EF4-FFF2-40B4-BE49-F238E27FC236}">
              <a16:creationId xmlns="" xmlns:a16="http://schemas.microsoft.com/office/drawing/2014/main" id="{00000000-0008-0000-0000-00003D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46" name="Text Box 458">
          <a:extLst>
            <a:ext uri="{FF2B5EF4-FFF2-40B4-BE49-F238E27FC236}">
              <a16:creationId xmlns="" xmlns:a16="http://schemas.microsoft.com/office/drawing/2014/main" id="{00000000-0008-0000-0000-00003E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47" name="Text Box 459">
          <a:extLst>
            <a:ext uri="{FF2B5EF4-FFF2-40B4-BE49-F238E27FC236}">
              <a16:creationId xmlns="" xmlns:a16="http://schemas.microsoft.com/office/drawing/2014/main" id="{00000000-0008-0000-0000-00003F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48" name="Text Box 460">
          <a:extLst>
            <a:ext uri="{FF2B5EF4-FFF2-40B4-BE49-F238E27FC236}">
              <a16:creationId xmlns="" xmlns:a16="http://schemas.microsoft.com/office/drawing/2014/main" id="{00000000-0008-0000-0000-000040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49" name="Text Box 461">
          <a:extLst>
            <a:ext uri="{FF2B5EF4-FFF2-40B4-BE49-F238E27FC236}">
              <a16:creationId xmlns="" xmlns:a16="http://schemas.microsoft.com/office/drawing/2014/main" id="{00000000-0008-0000-0000-000041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50" name="Text Box 462">
          <a:extLst>
            <a:ext uri="{FF2B5EF4-FFF2-40B4-BE49-F238E27FC236}">
              <a16:creationId xmlns="" xmlns:a16="http://schemas.microsoft.com/office/drawing/2014/main" id="{00000000-0008-0000-0000-000042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51" name="Text Box 463">
          <a:extLst>
            <a:ext uri="{FF2B5EF4-FFF2-40B4-BE49-F238E27FC236}">
              <a16:creationId xmlns="" xmlns:a16="http://schemas.microsoft.com/office/drawing/2014/main" id="{00000000-0008-0000-0000-000043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52" name="Text Box 464">
          <a:extLst>
            <a:ext uri="{FF2B5EF4-FFF2-40B4-BE49-F238E27FC236}">
              <a16:creationId xmlns="" xmlns:a16="http://schemas.microsoft.com/office/drawing/2014/main" id="{00000000-0008-0000-0000-000044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53" name="Text Box 465">
          <a:extLst>
            <a:ext uri="{FF2B5EF4-FFF2-40B4-BE49-F238E27FC236}">
              <a16:creationId xmlns="" xmlns:a16="http://schemas.microsoft.com/office/drawing/2014/main" id="{00000000-0008-0000-0000-000045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54" name="Text Box 466">
          <a:extLst>
            <a:ext uri="{FF2B5EF4-FFF2-40B4-BE49-F238E27FC236}">
              <a16:creationId xmlns="" xmlns:a16="http://schemas.microsoft.com/office/drawing/2014/main" id="{00000000-0008-0000-0000-000046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55" name="Text Box 467">
          <a:extLst>
            <a:ext uri="{FF2B5EF4-FFF2-40B4-BE49-F238E27FC236}">
              <a16:creationId xmlns="" xmlns:a16="http://schemas.microsoft.com/office/drawing/2014/main" id="{00000000-0008-0000-0000-000047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56" name="Text Box 468">
          <a:extLst>
            <a:ext uri="{FF2B5EF4-FFF2-40B4-BE49-F238E27FC236}">
              <a16:creationId xmlns="" xmlns:a16="http://schemas.microsoft.com/office/drawing/2014/main" id="{00000000-0008-0000-0000-000048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57" name="Text Box 469">
          <a:extLst>
            <a:ext uri="{FF2B5EF4-FFF2-40B4-BE49-F238E27FC236}">
              <a16:creationId xmlns="" xmlns:a16="http://schemas.microsoft.com/office/drawing/2014/main" id="{00000000-0008-0000-0000-000049360A00}"/>
            </a:ext>
          </a:extLst>
        </xdr:cNvPr>
        <xdr:cNvSpPr txBox="1">
          <a:spLocks noChangeArrowheads="1"/>
        </xdr:cNvSpPr>
      </xdr:nvSpPr>
      <xdr:spPr bwMode="auto">
        <a:xfrm>
          <a:off x="1333500" y="13773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161925</xdr:colOff>
      <xdr:row>62</xdr:row>
      <xdr:rowOff>0</xdr:rowOff>
    </xdr:from>
    <xdr:to>
      <xdr:col>4</xdr:col>
      <xdr:colOff>238125</xdr:colOff>
      <xdr:row>63</xdr:row>
      <xdr:rowOff>38100</xdr:rowOff>
    </xdr:to>
    <xdr:sp macro="" textlink="">
      <xdr:nvSpPr>
        <xdr:cNvPr id="669258" name="Text Box 470">
          <a:extLst>
            <a:ext uri="{FF2B5EF4-FFF2-40B4-BE49-F238E27FC236}">
              <a16:creationId xmlns="" xmlns:a16="http://schemas.microsoft.com/office/drawing/2014/main" id="{00000000-0008-0000-0000-00004A360A00}"/>
            </a:ext>
          </a:extLst>
        </xdr:cNvPr>
        <xdr:cNvSpPr txBox="1">
          <a:spLocks noChangeArrowheads="1"/>
        </xdr:cNvSpPr>
      </xdr:nvSpPr>
      <xdr:spPr bwMode="auto">
        <a:xfrm>
          <a:off x="2028825" y="162115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161925</xdr:colOff>
      <xdr:row>62</xdr:row>
      <xdr:rowOff>0</xdr:rowOff>
    </xdr:from>
    <xdr:to>
      <xdr:col>4</xdr:col>
      <xdr:colOff>238125</xdr:colOff>
      <xdr:row>63</xdr:row>
      <xdr:rowOff>38100</xdr:rowOff>
    </xdr:to>
    <xdr:sp macro="" textlink="">
      <xdr:nvSpPr>
        <xdr:cNvPr id="669259" name="Text Box 471">
          <a:extLst>
            <a:ext uri="{FF2B5EF4-FFF2-40B4-BE49-F238E27FC236}">
              <a16:creationId xmlns="" xmlns:a16="http://schemas.microsoft.com/office/drawing/2014/main" id="{00000000-0008-0000-0000-00004B360A00}"/>
            </a:ext>
          </a:extLst>
        </xdr:cNvPr>
        <xdr:cNvSpPr txBox="1">
          <a:spLocks noChangeArrowheads="1"/>
        </xdr:cNvSpPr>
      </xdr:nvSpPr>
      <xdr:spPr bwMode="auto">
        <a:xfrm>
          <a:off x="2028825" y="162115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190500</xdr:colOff>
      <xdr:row>62</xdr:row>
      <xdr:rowOff>0</xdr:rowOff>
    </xdr:from>
    <xdr:to>
      <xdr:col>9</xdr:col>
      <xdr:colOff>266700</xdr:colOff>
      <xdr:row>63</xdr:row>
      <xdr:rowOff>38100</xdr:rowOff>
    </xdr:to>
    <xdr:sp macro="" textlink="">
      <xdr:nvSpPr>
        <xdr:cNvPr id="669260" name="Text Box 472">
          <a:extLst>
            <a:ext uri="{FF2B5EF4-FFF2-40B4-BE49-F238E27FC236}">
              <a16:creationId xmlns="" xmlns:a16="http://schemas.microsoft.com/office/drawing/2014/main" id="{00000000-0008-0000-0000-00004C360A00}"/>
            </a:ext>
          </a:extLst>
        </xdr:cNvPr>
        <xdr:cNvSpPr txBox="1">
          <a:spLocks noChangeArrowheads="1"/>
        </xdr:cNvSpPr>
      </xdr:nvSpPr>
      <xdr:spPr bwMode="auto">
        <a:xfrm>
          <a:off x="6696075" y="173736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61" name="Text Box 476">
          <a:extLst>
            <a:ext uri="{FF2B5EF4-FFF2-40B4-BE49-F238E27FC236}">
              <a16:creationId xmlns="" xmlns:a16="http://schemas.microsoft.com/office/drawing/2014/main" id="{00000000-0008-0000-0000-00004D360A00}"/>
            </a:ext>
          </a:extLst>
        </xdr:cNvPr>
        <xdr:cNvSpPr txBox="1">
          <a:spLocks noChangeArrowheads="1"/>
        </xdr:cNvSpPr>
      </xdr:nvSpPr>
      <xdr:spPr bwMode="auto">
        <a:xfrm>
          <a:off x="1333500" y="24688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62" name="Text Box 477">
          <a:extLst>
            <a:ext uri="{FF2B5EF4-FFF2-40B4-BE49-F238E27FC236}">
              <a16:creationId xmlns="" xmlns:a16="http://schemas.microsoft.com/office/drawing/2014/main" id="{00000000-0008-0000-0000-00004E360A00}"/>
            </a:ext>
          </a:extLst>
        </xdr:cNvPr>
        <xdr:cNvSpPr txBox="1">
          <a:spLocks noChangeArrowheads="1"/>
        </xdr:cNvSpPr>
      </xdr:nvSpPr>
      <xdr:spPr bwMode="auto">
        <a:xfrm>
          <a:off x="1362075" y="24688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63" name="Text Box 478">
          <a:extLst>
            <a:ext uri="{FF2B5EF4-FFF2-40B4-BE49-F238E27FC236}">
              <a16:creationId xmlns="" xmlns:a16="http://schemas.microsoft.com/office/drawing/2014/main" id="{00000000-0008-0000-0000-00004F360A00}"/>
            </a:ext>
          </a:extLst>
        </xdr:cNvPr>
        <xdr:cNvSpPr txBox="1">
          <a:spLocks noChangeArrowheads="1"/>
        </xdr:cNvSpPr>
      </xdr:nvSpPr>
      <xdr:spPr bwMode="auto">
        <a:xfrm>
          <a:off x="1333500" y="24688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64" name="Text Box 479">
          <a:extLst>
            <a:ext uri="{FF2B5EF4-FFF2-40B4-BE49-F238E27FC236}">
              <a16:creationId xmlns="" xmlns:a16="http://schemas.microsoft.com/office/drawing/2014/main" id="{00000000-0008-0000-0000-000050360A00}"/>
            </a:ext>
          </a:extLst>
        </xdr:cNvPr>
        <xdr:cNvSpPr txBox="1">
          <a:spLocks noChangeArrowheads="1"/>
        </xdr:cNvSpPr>
      </xdr:nvSpPr>
      <xdr:spPr bwMode="auto">
        <a:xfrm>
          <a:off x="1362075" y="24688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65" name="Text Box 480">
          <a:extLst>
            <a:ext uri="{FF2B5EF4-FFF2-40B4-BE49-F238E27FC236}">
              <a16:creationId xmlns="" xmlns:a16="http://schemas.microsoft.com/office/drawing/2014/main" id="{00000000-0008-0000-0000-000051360A00}"/>
            </a:ext>
          </a:extLst>
        </xdr:cNvPr>
        <xdr:cNvSpPr txBox="1">
          <a:spLocks noChangeArrowheads="1"/>
        </xdr:cNvSpPr>
      </xdr:nvSpPr>
      <xdr:spPr bwMode="auto">
        <a:xfrm>
          <a:off x="1333500" y="24688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66" name="Text Box 481">
          <a:extLst>
            <a:ext uri="{FF2B5EF4-FFF2-40B4-BE49-F238E27FC236}">
              <a16:creationId xmlns="" xmlns:a16="http://schemas.microsoft.com/office/drawing/2014/main" id="{00000000-0008-0000-0000-000052360A00}"/>
            </a:ext>
          </a:extLst>
        </xdr:cNvPr>
        <xdr:cNvSpPr txBox="1">
          <a:spLocks noChangeArrowheads="1"/>
        </xdr:cNvSpPr>
      </xdr:nvSpPr>
      <xdr:spPr bwMode="auto">
        <a:xfrm>
          <a:off x="1362075" y="24688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67" name="Text Box 482">
          <a:extLst>
            <a:ext uri="{FF2B5EF4-FFF2-40B4-BE49-F238E27FC236}">
              <a16:creationId xmlns="" xmlns:a16="http://schemas.microsoft.com/office/drawing/2014/main" id="{00000000-0008-0000-0000-000053360A00}"/>
            </a:ext>
          </a:extLst>
        </xdr:cNvPr>
        <xdr:cNvSpPr txBox="1">
          <a:spLocks noChangeArrowheads="1"/>
        </xdr:cNvSpPr>
      </xdr:nvSpPr>
      <xdr:spPr bwMode="auto">
        <a:xfrm>
          <a:off x="1333500" y="24688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68" name="Text Box 483">
          <a:extLst>
            <a:ext uri="{FF2B5EF4-FFF2-40B4-BE49-F238E27FC236}">
              <a16:creationId xmlns="" xmlns:a16="http://schemas.microsoft.com/office/drawing/2014/main" id="{00000000-0008-0000-0000-000054360A00}"/>
            </a:ext>
          </a:extLst>
        </xdr:cNvPr>
        <xdr:cNvSpPr txBox="1">
          <a:spLocks noChangeArrowheads="1"/>
        </xdr:cNvSpPr>
      </xdr:nvSpPr>
      <xdr:spPr bwMode="auto">
        <a:xfrm>
          <a:off x="1333500" y="24688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69" name="Text Box 484">
          <a:extLst>
            <a:ext uri="{FF2B5EF4-FFF2-40B4-BE49-F238E27FC236}">
              <a16:creationId xmlns="" xmlns:a16="http://schemas.microsoft.com/office/drawing/2014/main" id="{00000000-0008-0000-0000-000055360A00}"/>
            </a:ext>
          </a:extLst>
        </xdr:cNvPr>
        <xdr:cNvSpPr txBox="1">
          <a:spLocks noChangeArrowheads="1"/>
        </xdr:cNvSpPr>
      </xdr:nvSpPr>
      <xdr:spPr bwMode="auto">
        <a:xfrm>
          <a:off x="1362075" y="24688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70" name="Text Box 485">
          <a:extLst>
            <a:ext uri="{FF2B5EF4-FFF2-40B4-BE49-F238E27FC236}">
              <a16:creationId xmlns="" xmlns:a16="http://schemas.microsoft.com/office/drawing/2014/main" id="{00000000-0008-0000-0000-000056360A00}"/>
            </a:ext>
          </a:extLst>
        </xdr:cNvPr>
        <xdr:cNvSpPr txBox="1">
          <a:spLocks noChangeArrowheads="1"/>
        </xdr:cNvSpPr>
      </xdr:nvSpPr>
      <xdr:spPr bwMode="auto">
        <a:xfrm>
          <a:off x="1333500" y="24688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71" name="Text Box 486">
          <a:extLst>
            <a:ext uri="{FF2B5EF4-FFF2-40B4-BE49-F238E27FC236}">
              <a16:creationId xmlns="" xmlns:a16="http://schemas.microsoft.com/office/drawing/2014/main" id="{00000000-0008-0000-0000-000057360A00}"/>
            </a:ext>
          </a:extLst>
        </xdr:cNvPr>
        <xdr:cNvSpPr txBox="1">
          <a:spLocks noChangeArrowheads="1"/>
        </xdr:cNvSpPr>
      </xdr:nvSpPr>
      <xdr:spPr bwMode="auto">
        <a:xfrm>
          <a:off x="1362075" y="24688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72" name="Text Box 487">
          <a:extLst>
            <a:ext uri="{FF2B5EF4-FFF2-40B4-BE49-F238E27FC236}">
              <a16:creationId xmlns="" xmlns:a16="http://schemas.microsoft.com/office/drawing/2014/main" id="{00000000-0008-0000-0000-000058360A00}"/>
            </a:ext>
          </a:extLst>
        </xdr:cNvPr>
        <xdr:cNvSpPr txBox="1">
          <a:spLocks noChangeArrowheads="1"/>
        </xdr:cNvSpPr>
      </xdr:nvSpPr>
      <xdr:spPr bwMode="auto">
        <a:xfrm>
          <a:off x="1333500" y="24688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73" name="Text Box 488">
          <a:extLst>
            <a:ext uri="{FF2B5EF4-FFF2-40B4-BE49-F238E27FC236}">
              <a16:creationId xmlns="" xmlns:a16="http://schemas.microsoft.com/office/drawing/2014/main" id="{00000000-0008-0000-0000-000059360A00}"/>
            </a:ext>
          </a:extLst>
        </xdr:cNvPr>
        <xdr:cNvSpPr txBox="1">
          <a:spLocks noChangeArrowheads="1"/>
        </xdr:cNvSpPr>
      </xdr:nvSpPr>
      <xdr:spPr bwMode="auto">
        <a:xfrm>
          <a:off x="1333500" y="24688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74" name="Text Box 489">
          <a:extLst>
            <a:ext uri="{FF2B5EF4-FFF2-40B4-BE49-F238E27FC236}">
              <a16:creationId xmlns="" xmlns:a16="http://schemas.microsoft.com/office/drawing/2014/main" id="{00000000-0008-0000-0000-00005A360A00}"/>
            </a:ext>
          </a:extLst>
        </xdr:cNvPr>
        <xdr:cNvSpPr txBox="1">
          <a:spLocks noChangeArrowheads="1"/>
        </xdr:cNvSpPr>
      </xdr:nvSpPr>
      <xdr:spPr bwMode="auto">
        <a:xfrm>
          <a:off x="1362075" y="24688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75" name="Text Box 490">
          <a:extLst>
            <a:ext uri="{FF2B5EF4-FFF2-40B4-BE49-F238E27FC236}">
              <a16:creationId xmlns="" xmlns:a16="http://schemas.microsoft.com/office/drawing/2014/main" id="{00000000-0008-0000-0000-00005B360A00}"/>
            </a:ext>
          </a:extLst>
        </xdr:cNvPr>
        <xdr:cNvSpPr txBox="1">
          <a:spLocks noChangeArrowheads="1"/>
        </xdr:cNvSpPr>
      </xdr:nvSpPr>
      <xdr:spPr bwMode="auto">
        <a:xfrm>
          <a:off x="1333500" y="24688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76" name="Text Box 491">
          <a:extLst>
            <a:ext uri="{FF2B5EF4-FFF2-40B4-BE49-F238E27FC236}">
              <a16:creationId xmlns="" xmlns:a16="http://schemas.microsoft.com/office/drawing/2014/main" id="{00000000-0008-0000-0000-00005C360A00}"/>
            </a:ext>
          </a:extLst>
        </xdr:cNvPr>
        <xdr:cNvSpPr txBox="1">
          <a:spLocks noChangeArrowheads="1"/>
        </xdr:cNvSpPr>
      </xdr:nvSpPr>
      <xdr:spPr bwMode="auto">
        <a:xfrm>
          <a:off x="1362075" y="24688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77" name="Text Box 492">
          <a:extLst>
            <a:ext uri="{FF2B5EF4-FFF2-40B4-BE49-F238E27FC236}">
              <a16:creationId xmlns="" xmlns:a16="http://schemas.microsoft.com/office/drawing/2014/main" id="{00000000-0008-0000-0000-00005D360A00}"/>
            </a:ext>
          </a:extLst>
        </xdr:cNvPr>
        <xdr:cNvSpPr txBox="1">
          <a:spLocks noChangeArrowheads="1"/>
        </xdr:cNvSpPr>
      </xdr:nvSpPr>
      <xdr:spPr bwMode="auto">
        <a:xfrm>
          <a:off x="1333500" y="24688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78" name="Text Box 493">
          <a:extLst>
            <a:ext uri="{FF2B5EF4-FFF2-40B4-BE49-F238E27FC236}">
              <a16:creationId xmlns="" xmlns:a16="http://schemas.microsoft.com/office/drawing/2014/main" id="{00000000-0008-0000-0000-00005E360A00}"/>
            </a:ext>
          </a:extLst>
        </xdr:cNvPr>
        <xdr:cNvSpPr txBox="1">
          <a:spLocks noChangeArrowheads="1"/>
        </xdr:cNvSpPr>
      </xdr:nvSpPr>
      <xdr:spPr bwMode="auto">
        <a:xfrm>
          <a:off x="1362075" y="24688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79" name="Text Box 494">
          <a:extLst>
            <a:ext uri="{FF2B5EF4-FFF2-40B4-BE49-F238E27FC236}">
              <a16:creationId xmlns="" xmlns:a16="http://schemas.microsoft.com/office/drawing/2014/main" id="{00000000-0008-0000-0000-00005F360A00}"/>
            </a:ext>
          </a:extLst>
        </xdr:cNvPr>
        <xdr:cNvSpPr txBox="1">
          <a:spLocks noChangeArrowheads="1"/>
        </xdr:cNvSpPr>
      </xdr:nvSpPr>
      <xdr:spPr bwMode="auto">
        <a:xfrm>
          <a:off x="1333500" y="24688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80" name="Text Box 495">
          <a:extLst>
            <a:ext uri="{FF2B5EF4-FFF2-40B4-BE49-F238E27FC236}">
              <a16:creationId xmlns="" xmlns:a16="http://schemas.microsoft.com/office/drawing/2014/main" id="{00000000-0008-0000-0000-000060360A00}"/>
            </a:ext>
          </a:extLst>
        </xdr:cNvPr>
        <xdr:cNvSpPr txBox="1">
          <a:spLocks noChangeArrowheads="1"/>
        </xdr:cNvSpPr>
      </xdr:nvSpPr>
      <xdr:spPr bwMode="auto">
        <a:xfrm>
          <a:off x="1333500" y="24688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81" name="Text Box 496">
          <a:extLst>
            <a:ext uri="{FF2B5EF4-FFF2-40B4-BE49-F238E27FC236}">
              <a16:creationId xmlns="" xmlns:a16="http://schemas.microsoft.com/office/drawing/2014/main" id="{00000000-0008-0000-0000-000061360A00}"/>
            </a:ext>
          </a:extLst>
        </xdr:cNvPr>
        <xdr:cNvSpPr txBox="1">
          <a:spLocks noChangeArrowheads="1"/>
        </xdr:cNvSpPr>
      </xdr:nvSpPr>
      <xdr:spPr bwMode="auto">
        <a:xfrm>
          <a:off x="1362075" y="24688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82" name="Text Box 497">
          <a:extLst>
            <a:ext uri="{FF2B5EF4-FFF2-40B4-BE49-F238E27FC236}">
              <a16:creationId xmlns="" xmlns:a16="http://schemas.microsoft.com/office/drawing/2014/main" id="{00000000-0008-0000-0000-000062360A00}"/>
            </a:ext>
          </a:extLst>
        </xdr:cNvPr>
        <xdr:cNvSpPr txBox="1">
          <a:spLocks noChangeArrowheads="1"/>
        </xdr:cNvSpPr>
      </xdr:nvSpPr>
      <xdr:spPr bwMode="auto">
        <a:xfrm>
          <a:off x="1333500" y="24688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83" name="Text Box 498">
          <a:extLst>
            <a:ext uri="{FF2B5EF4-FFF2-40B4-BE49-F238E27FC236}">
              <a16:creationId xmlns="" xmlns:a16="http://schemas.microsoft.com/office/drawing/2014/main" id="{00000000-0008-0000-0000-000063360A00}"/>
            </a:ext>
          </a:extLst>
        </xdr:cNvPr>
        <xdr:cNvSpPr txBox="1">
          <a:spLocks noChangeArrowheads="1"/>
        </xdr:cNvSpPr>
      </xdr:nvSpPr>
      <xdr:spPr bwMode="auto">
        <a:xfrm>
          <a:off x="1362075" y="24688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84" name="Text Box 499">
          <a:extLst>
            <a:ext uri="{FF2B5EF4-FFF2-40B4-BE49-F238E27FC236}">
              <a16:creationId xmlns="" xmlns:a16="http://schemas.microsoft.com/office/drawing/2014/main" id="{00000000-0008-0000-0000-000064360A00}"/>
            </a:ext>
          </a:extLst>
        </xdr:cNvPr>
        <xdr:cNvSpPr txBox="1">
          <a:spLocks noChangeArrowheads="1"/>
        </xdr:cNvSpPr>
      </xdr:nvSpPr>
      <xdr:spPr bwMode="auto">
        <a:xfrm>
          <a:off x="1333500" y="24688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85" name="Text Box 500">
          <a:extLst>
            <a:ext uri="{FF2B5EF4-FFF2-40B4-BE49-F238E27FC236}">
              <a16:creationId xmlns="" xmlns:a16="http://schemas.microsoft.com/office/drawing/2014/main" id="{00000000-0008-0000-0000-000065360A00}"/>
            </a:ext>
          </a:extLst>
        </xdr:cNvPr>
        <xdr:cNvSpPr txBox="1">
          <a:spLocks noChangeArrowheads="1"/>
        </xdr:cNvSpPr>
      </xdr:nvSpPr>
      <xdr:spPr bwMode="auto">
        <a:xfrm>
          <a:off x="1333500" y="24688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86" name="Text Box 501">
          <a:extLst>
            <a:ext uri="{FF2B5EF4-FFF2-40B4-BE49-F238E27FC236}">
              <a16:creationId xmlns="" xmlns:a16="http://schemas.microsoft.com/office/drawing/2014/main" id="{00000000-0008-0000-0000-000066360A00}"/>
            </a:ext>
          </a:extLst>
        </xdr:cNvPr>
        <xdr:cNvSpPr txBox="1">
          <a:spLocks noChangeArrowheads="1"/>
        </xdr:cNvSpPr>
      </xdr:nvSpPr>
      <xdr:spPr bwMode="auto">
        <a:xfrm>
          <a:off x="1362075" y="24688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87" name="Text Box 502">
          <a:extLst>
            <a:ext uri="{FF2B5EF4-FFF2-40B4-BE49-F238E27FC236}">
              <a16:creationId xmlns="" xmlns:a16="http://schemas.microsoft.com/office/drawing/2014/main" id="{00000000-0008-0000-0000-000067360A00}"/>
            </a:ext>
          </a:extLst>
        </xdr:cNvPr>
        <xdr:cNvSpPr txBox="1">
          <a:spLocks noChangeArrowheads="1"/>
        </xdr:cNvSpPr>
      </xdr:nvSpPr>
      <xdr:spPr bwMode="auto">
        <a:xfrm>
          <a:off x="1333500" y="24688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88" name="Text Box 503">
          <a:extLst>
            <a:ext uri="{FF2B5EF4-FFF2-40B4-BE49-F238E27FC236}">
              <a16:creationId xmlns="" xmlns:a16="http://schemas.microsoft.com/office/drawing/2014/main" id="{00000000-0008-0000-0000-000068360A00}"/>
            </a:ext>
          </a:extLst>
        </xdr:cNvPr>
        <xdr:cNvSpPr txBox="1">
          <a:spLocks noChangeArrowheads="1"/>
        </xdr:cNvSpPr>
      </xdr:nvSpPr>
      <xdr:spPr bwMode="auto">
        <a:xfrm>
          <a:off x="1362075" y="24688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89" name="Text Box 504">
          <a:extLst>
            <a:ext uri="{FF2B5EF4-FFF2-40B4-BE49-F238E27FC236}">
              <a16:creationId xmlns="" xmlns:a16="http://schemas.microsoft.com/office/drawing/2014/main" id="{00000000-0008-0000-0000-000069360A00}"/>
            </a:ext>
          </a:extLst>
        </xdr:cNvPr>
        <xdr:cNvSpPr txBox="1">
          <a:spLocks noChangeArrowheads="1"/>
        </xdr:cNvSpPr>
      </xdr:nvSpPr>
      <xdr:spPr bwMode="auto">
        <a:xfrm>
          <a:off x="1333500" y="24688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90" name="Text Box 505">
          <a:extLst>
            <a:ext uri="{FF2B5EF4-FFF2-40B4-BE49-F238E27FC236}">
              <a16:creationId xmlns="" xmlns:a16="http://schemas.microsoft.com/office/drawing/2014/main" id="{00000000-0008-0000-0000-00006A360A00}"/>
            </a:ext>
          </a:extLst>
        </xdr:cNvPr>
        <xdr:cNvSpPr txBox="1">
          <a:spLocks noChangeArrowheads="1"/>
        </xdr:cNvSpPr>
      </xdr:nvSpPr>
      <xdr:spPr bwMode="auto">
        <a:xfrm>
          <a:off x="1362075" y="246888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91" name="Text Box 506">
          <a:extLst>
            <a:ext uri="{FF2B5EF4-FFF2-40B4-BE49-F238E27FC236}">
              <a16:creationId xmlns="" xmlns:a16="http://schemas.microsoft.com/office/drawing/2014/main" id="{00000000-0008-0000-0000-00006B360A00}"/>
            </a:ext>
          </a:extLst>
        </xdr:cNvPr>
        <xdr:cNvSpPr txBox="1">
          <a:spLocks noChangeArrowheads="1"/>
        </xdr:cNvSpPr>
      </xdr:nvSpPr>
      <xdr:spPr bwMode="auto">
        <a:xfrm>
          <a:off x="1333500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92" name="Text Box 507">
          <a:extLst>
            <a:ext uri="{FF2B5EF4-FFF2-40B4-BE49-F238E27FC236}">
              <a16:creationId xmlns="" xmlns:a16="http://schemas.microsoft.com/office/drawing/2014/main" id="{00000000-0008-0000-0000-00006C360A00}"/>
            </a:ext>
          </a:extLst>
        </xdr:cNvPr>
        <xdr:cNvSpPr txBox="1">
          <a:spLocks noChangeArrowheads="1"/>
        </xdr:cNvSpPr>
      </xdr:nvSpPr>
      <xdr:spPr bwMode="auto">
        <a:xfrm>
          <a:off x="1362075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93" name="Text Box 508">
          <a:extLst>
            <a:ext uri="{FF2B5EF4-FFF2-40B4-BE49-F238E27FC236}">
              <a16:creationId xmlns="" xmlns:a16="http://schemas.microsoft.com/office/drawing/2014/main" id="{00000000-0008-0000-0000-00006D360A00}"/>
            </a:ext>
          </a:extLst>
        </xdr:cNvPr>
        <xdr:cNvSpPr txBox="1">
          <a:spLocks noChangeArrowheads="1"/>
        </xdr:cNvSpPr>
      </xdr:nvSpPr>
      <xdr:spPr bwMode="auto">
        <a:xfrm>
          <a:off x="1333500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94" name="Text Box 509">
          <a:extLst>
            <a:ext uri="{FF2B5EF4-FFF2-40B4-BE49-F238E27FC236}">
              <a16:creationId xmlns="" xmlns:a16="http://schemas.microsoft.com/office/drawing/2014/main" id="{00000000-0008-0000-0000-00006E360A00}"/>
            </a:ext>
          </a:extLst>
        </xdr:cNvPr>
        <xdr:cNvSpPr txBox="1">
          <a:spLocks noChangeArrowheads="1"/>
        </xdr:cNvSpPr>
      </xdr:nvSpPr>
      <xdr:spPr bwMode="auto">
        <a:xfrm>
          <a:off x="1362075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95" name="Text Box 510">
          <a:extLst>
            <a:ext uri="{FF2B5EF4-FFF2-40B4-BE49-F238E27FC236}">
              <a16:creationId xmlns="" xmlns:a16="http://schemas.microsoft.com/office/drawing/2014/main" id="{00000000-0008-0000-0000-00006F360A00}"/>
            </a:ext>
          </a:extLst>
        </xdr:cNvPr>
        <xdr:cNvSpPr txBox="1">
          <a:spLocks noChangeArrowheads="1"/>
        </xdr:cNvSpPr>
      </xdr:nvSpPr>
      <xdr:spPr bwMode="auto">
        <a:xfrm>
          <a:off x="1333500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96" name="Text Box 511">
          <a:extLst>
            <a:ext uri="{FF2B5EF4-FFF2-40B4-BE49-F238E27FC236}">
              <a16:creationId xmlns="" xmlns:a16="http://schemas.microsoft.com/office/drawing/2014/main" id="{00000000-0008-0000-0000-000070360A00}"/>
            </a:ext>
          </a:extLst>
        </xdr:cNvPr>
        <xdr:cNvSpPr txBox="1">
          <a:spLocks noChangeArrowheads="1"/>
        </xdr:cNvSpPr>
      </xdr:nvSpPr>
      <xdr:spPr bwMode="auto">
        <a:xfrm>
          <a:off x="1362075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97" name="Text Box 512">
          <a:extLst>
            <a:ext uri="{FF2B5EF4-FFF2-40B4-BE49-F238E27FC236}">
              <a16:creationId xmlns="" xmlns:a16="http://schemas.microsoft.com/office/drawing/2014/main" id="{00000000-0008-0000-0000-000071360A00}"/>
            </a:ext>
          </a:extLst>
        </xdr:cNvPr>
        <xdr:cNvSpPr txBox="1">
          <a:spLocks noChangeArrowheads="1"/>
        </xdr:cNvSpPr>
      </xdr:nvSpPr>
      <xdr:spPr bwMode="auto">
        <a:xfrm>
          <a:off x="1333500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298" name="Text Box 513">
          <a:extLst>
            <a:ext uri="{FF2B5EF4-FFF2-40B4-BE49-F238E27FC236}">
              <a16:creationId xmlns="" xmlns:a16="http://schemas.microsoft.com/office/drawing/2014/main" id="{00000000-0008-0000-0000-000072360A00}"/>
            </a:ext>
          </a:extLst>
        </xdr:cNvPr>
        <xdr:cNvSpPr txBox="1">
          <a:spLocks noChangeArrowheads="1"/>
        </xdr:cNvSpPr>
      </xdr:nvSpPr>
      <xdr:spPr bwMode="auto">
        <a:xfrm>
          <a:off x="1333500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299" name="Text Box 514">
          <a:extLst>
            <a:ext uri="{FF2B5EF4-FFF2-40B4-BE49-F238E27FC236}">
              <a16:creationId xmlns="" xmlns:a16="http://schemas.microsoft.com/office/drawing/2014/main" id="{00000000-0008-0000-0000-000073360A00}"/>
            </a:ext>
          </a:extLst>
        </xdr:cNvPr>
        <xdr:cNvSpPr txBox="1">
          <a:spLocks noChangeArrowheads="1"/>
        </xdr:cNvSpPr>
      </xdr:nvSpPr>
      <xdr:spPr bwMode="auto">
        <a:xfrm>
          <a:off x="1362075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00" name="Text Box 515">
          <a:extLst>
            <a:ext uri="{FF2B5EF4-FFF2-40B4-BE49-F238E27FC236}">
              <a16:creationId xmlns="" xmlns:a16="http://schemas.microsoft.com/office/drawing/2014/main" id="{00000000-0008-0000-0000-000074360A00}"/>
            </a:ext>
          </a:extLst>
        </xdr:cNvPr>
        <xdr:cNvSpPr txBox="1">
          <a:spLocks noChangeArrowheads="1"/>
        </xdr:cNvSpPr>
      </xdr:nvSpPr>
      <xdr:spPr bwMode="auto">
        <a:xfrm>
          <a:off x="1333500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301" name="Text Box 516">
          <a:extLst>
            <a:ext uri="{FF2B5EF4-FFF2-40B4-BE49-F238E27FC236}">
              <a16:creationId xmlns="" xmlns:a16="http://schemas.microsoft.com/office/drawing/2014/main" id="{00000000-0008-0000-0000-000075360A00}"/>
            </a:ext>
          </a:extLst>
        </xdr:cNvPr>
        <xdr:cNvSpPr txBox="1">
          <a:spLocks noChangeArrowheads="1"/>
        </xdr:cNvSpPr>
      </xdr:nvSpPr>
      <xdr:spPr bwMode="auto">
        <a:xfrm>
          <a:off x="1362075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02" name="Text Box 517">
          <a:extLst>
            <a:ext uri="{FF2B5EF4-FFF2-40B4-BE49-F238E27FC236}">
              <a16:creationId xmlns="" xmlns:a16="http://schemas.microsoft.com/office/drawing/2014/main" id="{00000000-0008-0000-0000-000076360A00}"/>
            </a:ext>
          </a:extLst>
        </xdr:cNvPr>
        <xdr:cNvSpPr txBox="1">
          <a:spLocks noChangeArrowheads="1"/>
        </xdr:cNvSpPr>
      </xdr:nvSpPr>
      <xdr:spPr bwMode="auto">
        <a:xfrm>
          <a:off x="1333500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03" name="Text Box 518">
          <a:extLst>
            <a:ext uri="{FF2B5EF4-FFF2-40B4-BE49-F238E27FC236}">
              <a16:creationId xmlns="" xmlns:a16="http://schemas.microsoft.com/office/drawing/2014/main" id="{00000000-0008-0000-0000-000077360A00}"/>
            </a:ext>
          </a:extLst>
        </xdr:cNvPr>
        <xdr:cNvSpPr txBox="1">
          <a:spLocks noChangeArrowheads="1"/>
        </xdr:cNvSpPr>
      </xdr:nvSpPr>
      <xdr:spPr bwMode="auto">
        <a:xfrm>
          <a:off x="1333500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304" name="Text Box 519">
          <a:extLst>
            <a:ext uri="{FF2B5EF4-FFF2-40B4-BE49-F238E27FC236}">
              <a16:creationId xmlns="" xmlns:a16="http://schemas.microsoft.com/office/drawing/2014/main" id="{00000000-0008-0000-0000-000078360A00}"/>
            </a:ext>
          </a:extLst>
        </xdr:cNvPr>
        <xdr:cNvSpPr txBox="1">
          <a:spLocks noChangeArrowheads="1"/>
        </xdr:cNvSpPr>
      </xdr:nvSpPr>
      <xdr:spPr bwMode="auto">
        <a:xfrm>
          <a:off x="1362075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05" name="Text Box 520">
          <a:extLst>
            <a:ext uri="{FF2B5EF4-FFF2-40B4-BE49-F238E27FC236}">
              <a16:creationId xmlns="" xmlns:a16="http://schemas.microsoft.com/office/drawing/2014/main" id="{00000000-0008-0000-0000-000079360A00}"/>
            </a:ext>
          </a:extLst>
        </xdr:cNvPr>
        <xdr:cNvSpPr txBox="1">
          <a:spLocks noChangeArrowheads="1"/>
        </xdr:cNvSpPr>
      </xdr:nvSpPr>
      <xdr:spPr bwMode="auto">
        <a:xfrm>
          <a:off x="1333500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306" name="Text Box 521">
          <a:extLst>
            <a:ext uri="{FF2B5EF4-FFF2-40B4-BE49-F238E27FC236}">
              <a16:creationId xmlns="" xmlns:a16="http://schemas.microsoft.com/office/drawing/2014/main" id="{00000000-0008-0000-0000-00007A360A00}"/>
            </a:ext>
          </a:extLst>
        </xdr:cNvPr>
        <xdr:cNvSpPr txBox="1">
          <a:spLocks noChangeArrowheads="1"/>
        </xdr:cNvSpPr>
      </xdr:nvSpPr>
      <xdr:spPr bwMode="auto">
        <a:xfrm>
          <a:off x="1362075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07" name="Text Box 522">
          <a:extLst>
            <a:ext uri="{FF2B5EF4-FFF2-40B4-BE49-F238E27FC236}">
              <a16:creationId xmlns="" xmlns:a16="http://schemas.microsoft.com/office/drawing/2014/main" id="{00000000-0008-0000-0000-00007B360A00}"/>
            </a:ext>
          </a:extLst>
        </xdr:cNvPr>
        <xdr:cNvSpPr txBox="1">
          <a:spLocks noChangeArrowheads="1"/>
        </xdr:cNvSpPr>
      </xdr:nvSpPr>
      <xdr:spPr bwMode="auto">
        <a:xfrm>
          <a:off x="1333500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08" name="Text Box 523">
          <a:extLst>
            <a:ext uri="{FF2B5EF4-FFF2-40B4-BE49-F238E27FC236}">
              <a16:creationId xmlns="" xmlns:a16="http://schemas.microsoft.com/office/drawing/2014/main" id="{00000000-0008-0000-0000-00007C360A00}"/>
            </a:ext>
          </a:extLst>
        </xdr:cNvPr>
        <xdr:cNvSpPr txBox="1">
          <a:spLocks noChangeArrowheads="1"/>
        </xdr:cNvSpPr>
      </xdr:nvSpPr>
      <xdr:spPr bwMode="auto">
        <a:xfrm>
          <a:off x="1333500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09" name="Text Box 524">
          <a:extLst>
            <a:ext uri="{FF2B5EF4-FFF2-40B4-BE49-F238E27FC236}">
              <a16:creationId xmlns="" xmlns:a16="http://schemas.microsoft.com/office/drawing/2014/main" id="{00000000-0008-0000-0000-00007D360A00}"/>
            </a:ext>
          </a:extLst>
        </xdr:cNvPr>
        <xdr:cNvSpPr txBox="1">
          <a:spLocks noChangeArrowheads="1"/>
        </xdr:cNvSpPr>
      </xdr:nvSpPr>
      <xdr:spPr bwMode="auto">
        <a:xfrm>
          <a:off x="1333500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10" name="Text Box 525">
          <a:extLst>
            <a:ext uri="{FF2B5EF4-FFF2-40B4-BE49-F238E27FC236}">
              <a16:creationId xmlns="" xmlns:a16="http://schemas.microsoft.com/office/drawing/2014/main" id="{00000000-0008-0000-0000-00007E360A00}"/>
            </a:ext>
          </a:extLst>
        </xdr:cNvPr>
        <xdr:cNvSpPr txBox="1">
          <a:spLocks noChangeArrowheads="1"/>
        </xdr:cNvSpPr>
      </xdr:nvSpPr>
      <xdr:spPr bwMode="auto">
        <a:xfrm>
          <a:off x="1333500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11" name="Text Box 526">
          <a:extLst>
            <a:ext uri="{FF2B5EF4-FFF2-40B4-BE49-F238E27FC236}">
              <a16:creationId xmlns="" xmlns:a16="http://schemas.microsoft.com/office/drawing/2014/main" id="{00000000-0008-0000-0000-00007F360A00}"/>
            </a:ext>
          </a:extLst>
        </xdr:cNvPr>
        <xdr:cNvSpPr txBox="1">
          <a:spLocks noChangeArrowheads="1"/>
        </xdr:cNvSpPr>
      </xdr:nvSpPr>
      <xdr:spPr bwMode="auto">
        <a:xfrm>
          <a:off x="1333500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12" name="Text Box 527">
          <a:extLst>
            <a:ext uri="{FF2B5EF4-FFF2-40B4-BE49-F238E27FC236}">
              <a16:creationId xmlns="" xmlns:a16="http://schemas.microsoft.com/office/drawing/2014/main" id="{00000000-0008-0000-0000-000080360A00}"/>
            </a:ext>
          </a:extLst>
        </xdr:cNvPr>
        <xdr:cNvSpPr txBox="1">
          <a:spLocks noChangeArrowheads="1"/>
        </xdr:cNvSpPr>
      </xdr:nvSpPr>
      <xdr:spPr bwMode="auto">
        <a:xfrm>
          <a:off x="1333500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13" name="Text Box 528">
          <a:extLst>
            <a:ext uri="{FF2B5EF4-FFF2-40B4-BE49-F238E27FC236}">
              <a16:creationId xmlns="" xmlns:a16="http://schemas.microsoft.com/office/drawing/2014/main" id="{00000000-0008-0000-0000-000081360A00}"/>
            </a:ext>
          </a:extLst>
        </xdr:cNvPr>
        <xdr:cNvSpPr txBox="1">
          <a:spLocks noChangeArrowheads="1"/>
        </xdr:cNvSpPr>
      </xdr:nvSpPr>
      <xdr:spPr bwMode="auto">
        <a:xfrm>
          <a:off x="1333500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14" name="Text Box 529">
          <a:extLst>
            <a:ext uri="{FF2B5EF4-FFF2-40B4-BE49-F238E27FC236}">
              <a16:creationId xmlns="" xmlns:a16="http://schemas.microsoft.com/office/drawing/2014/main" id="{00000000-0008-0000-0000-000082360A00}"/>
            </a:ext>
          </a:extLst>
        </xdr:cNvPr>
        <xdr:cNvSpPr txBox="1">
          <a:spLocks noChangeArrowheads="1"/>
        </xdr:cNvSpPr>
      </xdr:nvSpPr>
      <xdr:spPr bwMode="auto">
        <a:xfrm>
          <a:off x="1333500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15" name="Text Box 530">
          <a:extLst>
            <a:ext uri="{FF2B5EF4-FFF2-40B4-BE49-F238E27FC236}">
              <a16:creationId xmlns="" xmlns:a16="http://schemas.microsoft.com/office/drawing/2014/main" id="{00000000-0008-0000-0000-000083360A00}"/>
            </a:ext>
          </a:extLst>
        </xdr:cNvPr>
        <xdr:cNvSpPr txBox="1">
          <a:spLocks noChangeArrowheads="1"/>
        </xdr:cNvSpPr>
      </xdr:nvSpPr>
      <xdr:spPr bwMode="auto">
        <a:xfrm>
          <a:off x="1333500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16" name="Text Box 531">
          <a:extLst>
            <a:ext uri="{FF2B5EF4-FFF2-40B4-BE49-F238E27FC236}">
              <a16:creationId xmlns="" xmlns:a16="http://schemas.microsoft.com/office/drawing/2014/main" id="{00000000-0008-0000-0000-000084360A00}"/>
            </a:ext>
          </a:extLst>
        </xdr:cNvPr>
        <xdr:cNvSpPr txBox="1">
          <a:spLocks noChangeArrowheads="1"/>
        </xdr:cNvSpPr>
      </xdr:nvSpPr>
      <xdr:spPr bwMode="auto">
        <a:xfrm>
          <a:off x="1333500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17" name="Text Box 532">
          <a:extLst>
            <a:ext uri="{FF2B5EF4-FFF2-40B4-BE49-F238E27FC236}">
              <a16:creationId xmlns="" xmlns:a16="http://schemas.microsoft.com/office/drawing/2014/main" id="{00000000-0008-0000-0000-000085360A00}"/>
            </a:ext>
          </a:extLst>
        </xdr:cNvPr>
        <xdr:cNvSpPr txBox="1">
          <a:spLocks noChangeArrowheads="1"/>
        </xdr:cNvSpPr>
      </xdr:nvSpPr>
      <xdr:spPr bwMode="auto">
        <a:xfrm>
          <a:off x="1333500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18" name="Text Box 533">
          <a:extLst>
            <a:ext uri="{FF2B5EF4-FFF2-40B4-BE49-F238E27FC236}">
              <a16:creationId xmlns="" xmlns:a16="http://schemas.microsoft.com/office/drawing/2014/main" id="{00000000-0008-0000-0000-000086360A00}"/>
            </a:ext>
          </a:extLst>
        </xdr:cNvPr>
        <xdr:cNvSpPr txBox="1">
          <a:spLocks noChangeArrowheads="1"/>
        </xdr:cNvSpPr>
      </xdr:nvSpPr>
      <xdr:spPr bwMode="auto">
        <a:xfrm>
          <a:off x="1333500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19" name="Text Box 534">
          <a:extLst>
            <a:ext uri="{FF2B5EF4-FFF2-40B4-BE49-F238E27FC236}">
              <a16:creationId xmlns="" xmlns:a16="http://schemas.microsoft.com/office/drawing/2014/main" id="{00000000-0008-0000-0000-000087360A00}"/>
            </a:ext>
          </a:extLst>
        </xdr:cNvPr>
        <xdr:cNvSpPr txBox="1">
          <a:spLocks noChangeArrowheads="1"/>
        </xdr:cNvSpPr>
      </xdr:nvSpPr>
      <xdr:spPr bwMode="auto">
        <a:xfrm>
          <a:off x="1333500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20" name="Text Box 535">
          <a:extLst>
            <a:ext uri="{FF2B5EF4-FFF2-40B4-BE49-F238E27FC236}">
              <a16:creationId xmlns="" xmlns:a16="http://schemas.microsoft.com/office/drawing/2014/main" id="{00000000-0008-0000-0000-000088360A00}"/>
            </a:ext>
          </a:extLst>
        </xdr:cNvPr>
        <xdr:cNvSpPr txBox="1">
          <a:spLocks noChangeArrowheads="1"/>
        </xdr:cNvSpPr>
      </xdr:nvSpPr>
      <xdr:spPr bwMode="auto">
        <a:xfrm>
          <a:off x="1333500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21" name="Text Box 536">
          <a:extLst>
            <a:ext uri="{FF2B5EF4-FFF2-40B4-BE49-F238E27FC236}">
              <a16:creationId xmlns="" xmlns:a16="http://schemas.microsoft.com/office/drawing/2014/main" id="{00000000-0008-0000-0000-000089360A00}"/>
            </a:ext>
          </a:extLst>
        </xdr:cNvPr>
        <xdr:cNvSpPr txBox="1">
          <a:spLocks noChangeArrowheads="1"/>
        </xdr:cNvSpPr>
      </xdr:nvSpPr>
      <xdr:spPr bwMode="auto">
        <a:xfrm>
          <a:off x="1333500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22" name="Text Box 537">
          <a:extLst>
            <a:ext uri="{FF2B5EF4-FFF2-40B4-BE49-F238E27FC236}">
              <a16:creationId xmlns="" xmlns:a16="http://schemas.microsoft.com/office/drawing/2014/main" id="{00000000-0008-0000-0000-00008A360A00}"/>
            </a:ext>
          </a:extLst>
        </xdr:cNvPr>
        <xdr:cNvSpPr txBox="1">
          <a:spLocks noChangeArrowheads="1"/>
        </xdr:cNvSpPr>
      </xdr:nvSpPr>
      <xdr:spPr bwMode="auto">
        <a:xfrm>
          <a:off x="1333500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23" name="Text Box 538">
          <a:extLst>
            <a:ext uri="{FF2B5EF4-FFF2-40B4-BE49-F238E27FC236}">
              <a16:creationId xmlns="" xmlns:a16="http://schemas.microsoft.com/office/drawing/2014/main" id="{00000000-0008-0000-0000-00008B360A00}"/>
            </a:ext>
          </a:extLst>
        </xdr:cNvPr>
        <xdr:cNvSpPr txBox="1">
          <a:spLocks noChangeArrowheads="1"/>
        </xdr:cNvSpPr>
      </xdr:nvSpPr>
      <xdr:spPr bwMode="auto">
        <a:xfrm>
          <a:off x="1333500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24" name="Text Box 539">
          <a:extLst>
            <a:ext uri="{FF2B5EF4-FFF2-40B4-BE49-F238E27FC236}">
              <a16:creationId xmlns="" xmlns:a16="http://schemas.microsoft.com/office/drawing/2014/main" id="{00000000-0008-0000-0000-00008C360A00}"/>
            </a:ext>
          </a:extLst>
        </xdr:cNvPr>
        <xdr:cNvSpPr txBox="1">
          <a:spLocks noChangeArrowheads="1"/>
        </xdr:cNvSpPr>
      </xdr:nvSpPr>
      <xdr:spPr bwMode="auto">
        <a:xfrm>
          <a:off x="1333500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25" name="Text Box 540">
          <a:extLst>
            <a:ext uri="{FF2B5EF4-FFF2-40B4-BE49-F238E27FC236}">
              <a16:creationId xmlns="" xmlns:a16="http://schemas.microsoft.com/office/drawing/2014/main" id="{00000000-0008-0000-0000-00008D360A00}"/>
            </a:ext>
          </a:extLst>
        </xdr:cNvPr>
        <xdr:cNvSpPr txBox="1">
          <a:spLocks noChangeArrowheads="1"/>
        </xdr:cNvSpPr>
      </xdr:nvSpPr>
      <xdr:spPr bwMode="auto">
        <a:xfrm>
          <a:off x="1333500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26" name="Text Box 541">
          <a:extLst>
            <a:ext uri="{FF2B5EF4-FFF2-40B4-BE49-F238E27FC236}">
              <a16:creationId xmlns="" xmlns:a16="http://schemas.microsoft.com/office/drawing/2014/main" id="{00000000-0008-0000-0000-00008E360A00}"/>
            </a:ext>
          </a:extLst>
        </xdr:cNvPr>
        <xdr:cNvSpPr txBox="1">
          <a:spLocks noChangeArrowheads="1"/>
        </xdr:cNvSpPr>
      </xdr:nvSpPr>
      <xdr:spPr bwMode="auto">
        <a:xfrm>
          <a:off x="1333500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27" name="Text Box 542">
          <a:extLst>
            <a:ext uri="{FF2B5EF4-FFF2-40B4-BE49-F238E27FC236}">
              <a16:creationId xmlns="" xmlns:a16="http://schemas.microsoft.com/office/drawing/2014/main" id="{00000000-0008-0000-0000-00008F360A00}"/>
            </a:ext>
          </a:extLst>
        </xdr:cNvPr>
        <xdr:cNvSpPr txBox="1">
          <a:spLocks noChangeArrowheads="1"/>
        </xdr:cNvSpPr>
      </xdr:nvSpPr>
      <xdr:spPr bwMode="auto">
        <a:xfrm>
          <a:off x="1333500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28" name="Text Box 543">
          <a:extLst>
            <a:ext uri="{FF2B5EF4-FFF2-40B4-BE49-F238E27FC236}">
              <a16:creationId xmlns="" xmlns:a16="http://schemas.microsoft.com/office/drawing/2014/main" id="{00000000-0008-0000-0000-000090360A00}"/>
            </a:ext>
          </a:extLst>
        </xdr:cNvPr>
        <xdr:cNvSpPr txBox="1">
          <a:spLocks noChangeArrowheads="1"/>
        </xdr:cNvSpPr>
      </xdr:nvSpPr>
      <xdr:spPr bwMode="auto">
        <a:xfrm>
          <a:off x="1333500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29" name="Text Box 544">
          <a:extLst>
            <a:ext uri="{FF2B5EF4-FFF2-40B4-BE49-F238E27FC236}">
              <a16:creationId xmlns="" xmlns:a16="http://schemas.microsoft.com/office/drawing/2014/main" id="{00000000-0008-0000-0000-000091360A00}"/>
            </a:ext>
          </a:extLst>
        </xdr:cNvPr>
        <xdr:cNvSpPr txBox="1">
          <a:spLocks noChangeArrowheads="1"/>
        </xdr:cNvSpPr>
      </xdr:nvSpPr>
      <xdr:spPr bwMode="auto">
        <a:xfrm>
          <a:off x="1333500" y="248983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30" name="Text Box 547">
          <a:extLst>
            <a:ext uri="{FF2B5EF4-FFF2-40B4-BE49-F238E27FC236}">
              <a16:creationId xmlns="" xmlns:a16="http://schemas.microsoft.com/office/drawing/2014/main" id="{00000000-0008-0000-0000-000092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331" name="Text Box 548">
          <a:extLst>
            <a:ext uri="{FF2B5EF4-FFF2-40B4-BE49-F238E27FC236}">
              <a16:creationId xmlns="" xmlns:a16="http://schemas.microsoft.com/office/drawing/2014/main" id="{00000000-0008-0000-0000-000093360A00}"/>
            </a:ext>
          </a:extLst>
        </xdr:cNvPr>
        <xdr:cNvSpPr txBox="1">
          <a:spLocks noChangeArrowheads="1"/>
        </xdr:cNvSpPr>
      </xdr:nvSpPr>
      <xdr:spPr bwMode="auto">
        <a:xfrm>
          <a:off x="1362075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32" name="Text Box 549">
          <a:extLst>
            <a:ext uri="{FF2B5EF4-FFF2-40B4-BE49-F238E27FC236}">
              <a16:creationId xmlns="" xmlns:a16="http://schemas.microsoft.com/office/drawing/2014/main" id="{00000000-0008-0000-0000-000094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333" name="Text Box 550">
          <a:extLst>
            <a:ext uri="{FF2B5EF4-FFF2-40B4-BE49-F238E27FC236}">
              <a16:creationId xmlns="" xmlns:a16="http://schemas.microsoft.com/office/drawing/2014/main" id="{00000000-0008-0000-0000-000095360A00}"/>
            </a:ext>
          </a:extLst>
        </xdr:cNvPr>
        <xdr:cNvSpPr txBox="1">
          <a:spLocks noChangeArrowheads="1"/>
        </xdr:cNvSpPr>
      </xdr:nvSpPr>
      <xdr:spPr bwMode="auto">
        <a:xfrm>
          <a:off x="1362075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34" name="Text Box 551">
          <a:extLst>
            <a:ext uri="{FF2B5EF4-FFF2-40B4-BE49-F238E27FC236}">
              <a16:creationId xmlns="" xmlns:a16="http://schemas.microsoft.com/office/drawing/2014/main" id="{00000000-0008-0000-0000-000096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335" name="Text Box 552">
          <a:extLst>
            <a:ext uri="{FF2B5EF4-FFF2-40B4-BE49-F238E27FC236}">
              <a16:creationId xmlns="" xmlns:a16="http://schemas.microsoft.com/office/drawing/2014/main" id="{00000000-0008-0000-0000-000097360A00}"/>
            </a:ext>
          </a:extLst>
        </xdr:cNvPr>
        <xdr:cNvSpPr txBox="1">
          <a:spLocks noChangeArrowheads="1"/>
        </xdr:cNvSpPr>
      </xdr:nvSpPr>
      <xdr:spPr bwMode="auto">
        <a:xfrm>
          <a:off x="1362075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36" name="Text Box 553">
          <a:extLst>
            <a:ext uri="{FF2B5EF4-FFF2-40B4-BE49-F238E27FC236}">
              <a16:creationId xmlns="" xmlns:a16="http://schemas.microsoft.com/office/drawing/2014/main" id="{00000000-0008-0000-0000-000098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37" name="Text Box 554">
          <a:extLst>
            <a:ext uri="{FF2B5EF4-FFF2-40B4-BE49-F238E27FC236}">
              <a16:creationId xmlns="" xmlns:a16="http://schemas.microsoft.com/office/drawing/2014/main" id="{00000000-0008-0000-0000-000099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338" name="Text Box 555">
          <a:extLst>
            <a:ext uri="{FF2B5EF4-FFF2-40B4-BE49-F238E27FC236}">
              <a16:creationId xmlns="" xmlns:a16="http://schemas.microsoft.com/office/drawing/2014/main" id="{00000000-0008-0000-0000-00009A360A00}"/>
            </a:ext>
          </a:extLst>
        </xdr:cNvPr>
        <xdr:cNvSpPr txBox="1">
          <a:spLocks noChangeArrowheads="1"/>
        </xdr:cNvSpPr>
      </xdr:nvSpPr>
      <xdr:spPr bwMode="auto">
        <a:xfrm>
          <a:off x="1362075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39" name="Text Box 556">
          <a:extLst>
            <a:ext uri="{FF2B5EF4-FFF2-40B4-BE49-F238E27FC236}">
              <a16:creationId xmlns="" xmlns:a16="http://schemas.microsoft.com/office/drawing/2014/main" id="{00000000-0008-0000-0000-00009B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340" name="Text Box 557">
          <a:extLst>
            <a:ext uri="{FF2B5EF4-FFF2-40B4-BE49-F238E27FC236}">
              <a16:creationId xmlns="" xmlns:a16="http://schemas.microsoft.com/office/drawing/2014/main" id="{00000000-0008-0000-0000-00009C360A00}"/>
            </a:ext>
          </a:extLst>
        </xdr:cNvPr>
        <xdr:cNvSpPr txBox="1">
          <a:spLocks noChangeArrowheads="1"/>
        </xdr:cNvSpPr>
      </xdr:nvSpPr>
      <xdr:spPr bwMode="auto">
        <a:xfrm>
          <a:off x="1362075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41" name="Text Box 558">
          <a:extLst>
            <a:ext uri="{FF2B5EF4-FFF2-40B4-BE49-F238E27FC236}">
              <a16:creationId xmlns="" xmlns:a16="http://schemas.microsoft.com/office/drawing/2014/main" id="{00000000-0008-0000-0000-00009D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42" name="Text Box 559">
          <a:extLst>
            <a:ext uri="{FF2B5EF4-FFF2-40B4-BE49-F238E27FC236}">
              <a16:creationId xmlns="" xmlns:a16="http://schemas.microsoft.com/office/drawing/2014/main" id="{00000000-0008-0000-0000-00009E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343" name="Text Box 560">
          <a:extLst>
            <a:ext uri="{FF2B5EF4-FFF2-40B4-BE49-F238E27FC236}">
              <a16:creationId xmlns="" xmlns:a16="http://schemas.microsoft.com/office/drawing/2014/main" id="{00000000-0008-0000-0000-00009F360A00}"/>
            </a:ext>
          </a:extLst>
        </xdr:cNvPr>
        <xdr:cNvSpPr txBox="1">
          <a:spLocks noChangeArrowheads="1"/>
        </xdr:cNvSpPr>
      </xdr:nvSpPr>
      <xdr:spPr bwMode="auto">
        <a:xfrm>
          <a:off x="1362075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44" name="Text Box 561">
          <a:extLst>
            <a:ext uri="{FF2B5EF4-FFF2-40B4-BE49-F238E27FC236}">
              <a16:creationId xmlns="" xmlns:a16="http://schemas.microsoft.com/office/drawing/2014/main" id="{00000000-0008-0000-0000-0000A0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345" name="Text Box 562">
          <a:extLst>
            <a:ext uri="{FF2B5EF4-FFF2-40B4-BE49-F238E27FC236}">
              <a16:creationId xmlns="" xmlns:a16="http://schemas.microsoft.com/office/drawing/2014/main" id="{00000000-0008-0000-0000-0000A1360A00}"/>
            </a:ext>
          </a:extLst>
        </xdr:cNvPr>
        <xdr:cNvSpPr txBox="1">
          <a:spLocks noChangeArrowheads="1"/>
        </xdr:cNvSpPr>
      </xdr:nvSpPr>
      <xdr:spPr bwMode="auto">
        <a:xfrm>
          <a:off x="1362075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46" name="Text Box 563">
          <a:extLst>
            <a:ext uri="{FF2B5EF4-FFF2-40B4-BE49-F238E27FC236}">
              <a16:creationId xmlns="" xmlns:a16="http://schemas.microsoft.com/office/drawing/2014/main" id="{00000000-0008-0000-0000-0000A2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347" name="Text Box 564">
          <a:extLst>
            <a:ext uri="{FF2B5EF4-FFF2-40B4-BE49-F238E27FC236}">
              <a16:creationId xmlns="" xmlns:a16="http://schemas.microsoft.com/office/drawing/2014/main" id="{00000000-0008-0000-0000-0000A3360A00}"/>
            </a:ext>
          </a:extLst>
        </xdr:cNvPr>
        <xdr:cNvSpPr txBox="1">
          <a:spLocks noChangeArrowheads="1"/>
        </xdr:cNvSpPr>
      </xdr:nvSpPr>
      <xdr:spPr bwMode="auto">
        <a:xfrm>
          <a:off x="1362075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48" name="Text Box 565">
          <a:extLst>
            <a:ext uri="{FF2B5EF4-FFF2-40B4-BE49-F238E27FC236}">
              <a16:creationId xmlns="" xmlns:a16="http://schemas.microsoft.com/office/drawing/2014/main" id="{00000000-0008-0000-0000-0000A4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49" name="Text Box 566">
          <a:extLst>
            <a:ext uri="{FF2B5EF4-FFF2-40B4-BE49-F238E27FC236}">
              <a16:creationId xmlns="" xmlns:a16="http://schemas.microsoft.com/office/drawing/2014/main" id="{00000000-0008-0000-0000-0000A5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350" name="Text Box 567">
          <a:extLst>
            <a:ext uri="{FF2B5EF4-FFF2-40B4-BE49-F238E27FC236}">
              <a16:creationId xmlns="" xmlns:a16="http://schemas.microsoft.com/office/drawing/2014/main" id="{00000000-0008-0000-0000-0000A6360A00}"/>
            </a:ext>
          </a:extLst>
        </xdr:cNvPr>
        <xdr:cNvSpPr txBox="1">
          <a:spLocks noChangeArrowheads="1"/>
        </xdr:cNvSpPr>
      </xdr:nvSpPr>
      <xdr:spPr bwMode="auto">
        <a:xfrm>
          <a:off x="1362075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51" name="Text Box 568">
          <a:extLst>
            <a:ext uri="{FF2B5EF4-FFF2-40B4-BE49-F238E27FC236}">
              <a16:creationId xmlns="" xmlns:a16="http://schemas.microsoft.com/office/drawing/2014/main" id="{00000000-0008-0000-0000-0000A7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352" name="Text Box 569">
          <a:extLst>
            <a:ext uri="{FF2B5EF4-FFF2-40B4-BE49-F238E27FC236}">
              <a16:creationId xmlns="" xmlns:a16="http://schemas.microsoft.com/office/drawing/2014/main" id="{00000000-0008-0000-0000-0000A8360A00}"/>
            </a:ext>
          </a:extLst>
        </xdr:cNvPr>
        <xdr:cNvSpPr txBox="1">
          <a:spLocks noChangeArrowheads="1"/>
        </xdr:cNvSpPr>
      </xdr:nvSpPr>
      <xdr:spPr bwMode="auto">
        <a:xfrm>
          <a:off x="1362075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53" name="Text Box 570">
          <a:extLst>
            <a:ext uri="{FF2B5EF4-FFF2-40B4-BE49-F238E27FC236}">
              <a16:creationId xmlns="" xmlns:a16="http://schemas.microsoft.com/office/drawing/2014/main" id="{00000000-0008-0000-0000-0000A9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54" name="Text Box 571">
          <a:extLst>
            <a:ext uri="{FF2B5EF4-FFF2-40B4-BE49-F238E27FC236}">
              <a16:creationId xmlns="" xmlns:a16="http://schemas.microsoft.com/office/drawing/2014/main" id="{00000000-0008-0000-0000-0000AA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355" name="Text Box 572">
          <a:extLst>
            <a:ext uri="{FF2B5EF4-FFF2-40B4-BE49-F238E27FC236}">
              <a16:creationId xmlns="" xmlns:a16="http://schemas.microsoft.com/office/drawing/2014/main" id="{00000000-0008-0000-0000-0000AB360A00}"/>
            </a:ext>
          </a:extLst>
        </xdr:cNvPr>
        <xdr:cNvSpPr txBox="1">
          <a:spLocks noChangeArrowheads="1"/>
        </xdr:cNvSpPr>
      </xdr:nvSpPr>
      <xdr:spPr bwMode="auto">
        <a:xfrm>
          <a:off x="1362075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56" name="Text Box 573">
          <a:extLst>
            <a:ext uri="{FF2B5EF4-FFF2-40B4-BE49-F238E27FC236}">
              <a16:creationId xmlns="" xmlns:a16="http://schemas.microsoft.com/office/drawing/2014/main" id="{00000000-0008-0000-0000-0000AC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357" name="Text Box 574">
          <a:extLst>
            <a:ext uri="{FF2B5EF4-FFF2-40B4-BE49-F238E27FC236}">
              <a16:creationId xmlns="" xmlns:a16="http://schemas.microsoft.com/office/drawing/2014/main" id="{00000000-0008-0000-0000-0000AD360A00}"/>
            </a:ext>
          </a:extLst>
        </xdr:cNvPr>
        <xdr:cNvSpPr txBox="1">
          <a:spLocks noChangeArrowheads="1"/>
        </xdr:cNvSpPr>
      </xdr:nvSpPr>
      <xdr:spPr bwMode="auto">
        <a:xfrm>
          <a:off x="1362075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58" name="Text Box 575">
          <a:extLst>
            <a:ext uri="{FF2B5EF4-FFF2-40B4-BE49-F238E27FC236}">
              <a16:creationId xmlns="" xmlns:a16="http://schemas.microsoft.com/office/drawing/2014/main" id="{00000000-0008-0000-0000-0000AE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359" name="Text Box 576">
          <a:extLst>
            <a:ext uri="{FF2B5EF4-FFF2-40B4-BE49-F238E27FC236}">
              <a16:creationId xmlns="" xmlns:a16="http://schemas.microsoft.com/office/drawing/2014/main" id="{00000000-0008-0000-0000-0000AF360A00}"/>
            </a:ext>
          </a:extLst>
        </xdr:cNvPr>
        <xdr:cNvSpPr txBox="1">
          <a:spLocks noChangeArrowheads="1"/>
        </xdr:cNvSpPr>
      </xdr:nvSpPr>
      <xdr:spPr bwMode="auto">
        <a:xfrm>
          <a:off x="1362075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60" name="Text Box 577">
          <a:extLst>
            <a:ext uri="{FF2B5EF4-FFF2-40B4-BE49-F238E27FC236}">
              <a16:creationId xmlns="" xmlns:a16="http://schemas.microsoft.com/office/drawing/2014/main" id="{00000000-0008-0000-0000-0000B0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361" name="Text Box 578">
          <a:extLst>
            <a:ext uri="{FF2B5EF4-FFF2-40B4-BE49-F238E27FC236}">
              <a16:creationId xmlns="" xmlns:a16="http://schemas.microsoft.com/office/drawing/2014/main" id="{00000000-0008-0000-0000-0000B1360A00}"/>
            </a:ext>
          </a:extLst>
        </xdr:cNvPr>
        <xdr:cNvSpPr txBox="1">
          <a:spLocks noChangeArrowheads="1"/>
        </xdr:cNvSpPr>
      </xdr:nvSpPr>
      <xdr:spPr bwMode="auto">
        <a:xfrm>
          <a:off x="1362075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62" name="Text Box 579">
          <a:extLst>
            <a:ext uri="{FF2B5EF4-FFF2-40B4-BE49-F238E27FC236}">
              <a16:creationId xmlns="" xmlns:a16="http://schemas.microsoft.com/office/drawing/2014/main" id="{00000000-0008-0000-0000-0000B2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63" name="Text Box 580">
          <a:extLst>
            <a:ext uri="{FF2B5EF4-FFF2-40B4-BE49-F238E27FC236}">
              <a16:creationId xmlns="" xmlns:a16="http://schemas.microsoft.com/office/drawing/2014/main" id="{00000000-0008-0000-0000-0000B3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364" name="Text Box 581">
          <a:extLst>
            <a:ext uri="{FF2B5EF4-FFF2-40B4-BE49-F238E27FC236}">
              <a16:creationId xmlns="" xmlns:a16="http://schemas.microsoft.com/office/drawing/2014/main" id="{00000000-0008-0000-0000-0000B4360A00}"/>
            </a:ext>
          </a:extLst>
        </xdr:cNvPr>
        <xdr:cNvSpPr txBox="1">
          <a:spLocks noChangeArrowheads="1"/>
        </xdr:cNvSpPr>
      </xdr:nvSpPr>
      <xdr:spPr bwMode="auto">
        <a:xfrm>
          <a:off x="1362075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65" name="Text Box 582">
          <a:extLst>
            <a:ext uri="{FF2B5EF4-FFF2-40B4-BE49-F238E27FC236}">
              <a16:creationId xmlns="" xmlns:a16="http://schemas.microsoft.com/office/drawing/2014/main" id="{00000000-0008-0000-0000-0000B5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366" name="Text Box 583">
          <a:extLst>
            <a:ext uri="{FF2B5EF4-FFF2-40B4-BE49-F238E27FC236}">
              <a16:creationId xmlns="" xmlns:a16="http://schemas.microsoft.com/office/drawing/2014/main" id="{00000000-0008-0000-0000-0000B6360A00}"/>
            </a:ext>
          </a:extLst>
        </xdr:cNvPr>
        <xdr:cNvSpPr txBox="1">
          <a:spLocks noChangeArrowheads="1"/>
        </xdr:cNvSpPr>
      </xdr:nvSpPr>
      <xdr:spPr bwMode="auto">
        <a:xfrm>
          <a:off x="1362075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67" name="Text Box 584">
          <a:extLst>
            <a:ext uri="{FF2B5EF4-FFF2-40B4-BE49-F238E27FC236}">
              <a16:creationId xmlns="" xmlns:a16="http://schemas.microsoft.com/office/drawing/2014/main" id="{00000000-0008-0000-0000-0000B7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68" name="Text Box 585">
          <a:extLst>
            <a:ext uri="{FF2B5EF4-FFF2-40B4-BE49-F238E27FC236}">
              <a16:creationId xmlns="" xmlns:a16="http://schemas.microsoft.com/office/drawing/2014/main" id="{00000000-0008-0000-0000-0000B8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369" name="Text Box 586">
          <a:extLst>
            <a:ext uri="{FF2B5EF4-FFF2-40B4-BE49-F238E27FC236}">
              <a16:creationId xmlns="" xmlns:a16="http://schemas.microsoft.com/office/drawing/2014/main" id="{00000000-0008-0000-0000-0000B9360A00}"/>
            </a:ext>
          </a:extLst>
        </xdr:cNvPr>
        <xdr:cNvSpPr txBox="1">
          <a:spLocks noChangeArrowheads="1"/>
        </xdr:cNvSpPr>
      </xdr:nvSpPr>
      <xdr:spPr bwMode="auto">
        <a:xfrm>
          <a:off x="1362075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70" name="Text Box 587">
          <a:extLst>
            <a:ext uri="{FF2B5EF4-FFF2-40B4-BE49-F238E27FC236}">
              <a16:creationId xmlns="" xmlns:a16="http://schemas.microsoft.com/office/drawing/2014/main" id="{00000000-0008-0000-0000-0000BA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371" name="Text Box 588">
          <a:extLst>
            <a:ext uri="{FF2B5EF4-FFF2-40B4-BE49-F238E27FC236}">
              <a16:creationId xmlns="" xmlns:a16="http://schemas.microsoft.com/office/drawing/2014/main" id="{00000000-0008-0000-0000-0000BB360A00}"/>
            </a:ext>
          </a:extLst>
        </xdr:cNvPr>
        <xdr:cNvSpPr txBox="1">
          <a:spLocks noChangeArrowheads="1"/>
        </xdr:cNvSpPr>
      </xdr:nvSpPr>
      <xdr:spPr bwMode="auto">
        <a:xfrm>
          <a:off x="1362075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72" name="Text Box 589">
          <a:extLst>
            <a:ext uri="{FF2B5EF4-FFF2-40B4-BE49-F238E27FC236}">
              <a16:creationId xmlns="" xmlns:a16="http://schemas.microsoft.com/office/drawing/2014/main" id="{00000000-0008-0000-0000-0000BC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373" name="Text Box 590">
          <a:extLst>
            <a:ext uri="{FF2B5EF4-FFF2-40B4-BE49-F238E27FC236}">
              <a16:creationId xmlns="" xmlns:a16="http://schemas.microsoft.com/office/drawing/2014/main" id="{00000000-0008-0000-0000-0000BD360A00}"/>
            </a:ext>
          </a:extLst>
        </xdr:cNvPr>
        <xdr:cNvSpPr txBox="1">
          <a:spLocks noChangeArrowheads="1"/>
        </xdr:cNvSpPr>
      </xdr:nvSpPr>
      <xdr:spPr bwMode="auto">
        <a:xfrm>
          <a:off x="1362075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74" name="Text Box 591">
          <a:extLst>
            <a:ext uri="{FF2B5EF4-FFF2-40B4-BE49-F238E27FC236}">
              <a16:creationId xmlns="" xmlns:a16="http://schemas.microsoft.com/office/drawing/2014/main" id="{00000000-0008-0000-0000-0000BE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75" name="Text Box 592">
          <a:extLst>
            <a:ext uri="{FF2B5EF4-FFF2-40B4-BE49-F238E27FC236}">
              <a16:creationId xmlns="" xmlns:a16="http://schemas.microsoft.com/office/drawing/2014/main" id="{00000000-0008-0000-0000-0000BF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376" name="Text Box 593">
          <a:extLst>
            <a:ext uri="{FF2B5EF4-FFF2-40B4-BE49-F238E27FC236}">
              <a16:creationId xmlns="" xmlns:a16="http://schemas.microsoft.com/office/drawing/2014/main" id="{00000000-0008-0000-0000-0000C0360A00}"/>
            </a:ext>
          </a:extLst>
        </xdr:cNvPr>
        <xdr:cNvSpPr txBox="1">
          <a:spLocks noChangeArrowheads="1"/>
        </xdr:cNvSpPr>
      </xdr:nvSpPr>
      <xdr:spPr bwMode="auto">
        <a:xfrm>
          <a:off x="1362075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77" name="Text Box 594">
          <a:extLst>
            <a:ext uri="{FF2B5EF4-FFF2-40B4-BE49-F238E27FC236}">
              <a16:creationId xmlns="" xmlns:a16="http://schemas.microsoft.com/office/drawing/2014/main" id="{00000000-0008-0000-0000-0000C1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378" name="Text Box 595">
          <a:extLst>
            <a:ext uri="{FF2B5EF4-FFF2-40B4-BE49-F238E27FC236}">
              <a16:creationId xmlns="" xmlns:a16="http://schemas.microsoft.com/office/drawing/2014/main" id="{00000000-0008-0000-0000-0000C2360A00}"/>
            </a:ext>
          </a:extLst>
        </xdr:cNvPr>
        <xdr:cNvSpPr txBox="1">
          <a:spLocks noChangeArrowheads="1"/>
        </xdr:cNvSpPr>
      </xdr:nvSpPr>
      <xdr:spPr bwMode="auto">
        <a:xfrm>
          <a:off x="1362075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79" name="Text Box 596">
          <a:extLst>
            <a:ext uri="{FF2B5EF4-FFF2-40B4-BE49-F238E27FC236}">
              <a16:creationId xmlns="" xmlns:a16="http://schemas.microsoft.com/office/drawing/2014/main" id="{00000000-0008-0000-0000-0000C3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80" name="Text Box 597">
          <a:extLst>
            <a:ext uri="{FF2B5EF4-FFF2-40B4-BE49-F238E27FC236}">
              <a16:creationId xmlns="" xmlns:a16="http://schemas.microsoft.com/office/drawing/2014/main" id="{00000000-0008-0000-0000-0000C4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381" name="Text Box 598">
          <a:extLst>
            <a:ext uri="{FF2B5EF4-FFF2-40B4-BE49-F238E27FC236}">
              <a16:creationId xmlns="" xmlns:a16="http://schemas.microsoft.com/office/drawing/2014/main" id="{00000000-0008-0000-0000-0000C5360A00}"/>
            </a:ext>
          </a:extLst>
        </xdr:cNvPr>
        <xdr:cNvSpPr txBox="1">
          <a:spLocks noChangeArrowheads="1"/>
        </xdr:cNvSpPr>
      </xdr:nvSpPr>
      <xdr:spPr bwMode="auto">
        <a:xfrm>
          <a:off x="1362075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82" name="Text Box 599">
          <a:extLst>
            <a:ext uri="{FF2B5EF4-FFF2-40B4-BE49-F238E27FC236}">
              <a16:creationId xmlns="" xmlns:a16="http://schemas.microsoft.com/office/drawing/2014/main" id="{00000000-0008-0000-0000-0000C6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383" name="Text Box 600">
          <a:extLst>
            <a:ext uri="{FF2B5EF4-FFF2-40B4-BE49-F238E27FC236}">
              <a16:creationId xmlns="" xmlns:a16="http://schemas.microsoft.com/office/drawing/2014/main" id="{00000000-0008-0000-0000-0000C7360A00}"/>
            </a:ext>
          </a:extLst>
        </xdr:cNvPr>
        <xdr:cNvSpPr txBox="1">
          <a:spLocks noChangeArrowheads="1"/>
        </xdr:cNvSpPr>
      </xdr:nvSpPr>
      <xdr:spPr bwMode="auto">
        <a:xfrm>
          <a:off x="1362075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84" name="Text Box 601">
          <a:extLst>
            <a:ext uri="{FF2B5EF4-FFF2-40B4-BE49-F238E27FC236}">
              <a16:creationId xmlns="" xmlns:a16="http://schemas.microsoft.com/office/drawing/2014/main" id="{00000000-0008-0000-0000-0000C8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385" name="Text Box 602">
          <a:extLst>
            <a:ext uri="{FF2B5EF4-FFF2-40B4-BE49-F238E27FC236}">
              <a16:creationId xmlns="" xmlns:a16="http://schemas.microsoft.com/office/drawing/2014/main" id="{00000000-0008-0000-0000-0000C9360A00}"/>
            </a:ext>
          </a:extLst>
        </xdr:cNvPr>
        <xdr:cNvSpPr txBox="1">
          <a:spLocks noChangeArrowheads="1"/>
        </xdr:cNvSpPr>
      </xdr:nvSpPr>
      <xdr:spPr bwMode="auto">
        <a:xfrm>
          <a:off x="1362075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86" name="Text Box 603">
          <a:extLst>
            <a:ext uri="{FF2B5EF4-FFF2-40B4-BE49-F238E27FC236}">
              <a16:creationId xmlns="" xmlns:a16="http://schemas.microsoft.com/office/drawing/2014/main" id="{00000000-0008-0000-0000-0000CA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387" name="Text Box 604">
          <a:extLst>
            <a:ext uri="{FF2B5EF4-FFF2-40B4-BE49-F238E27FC236}">
              <a16:creationId xmlns="" xmlns:a16="http://schemas.microsoft.com/office/drawing/2014/main" id="{00000000-0008-0000-0000-0000CB360A00}"/>
            </a:ext>
          </a:extLst>
        </xdr:cNvPr>
        <xdr:cNvSpPr txBox="1">
          <a:spLocks noChangeArrowheads="1"/>
        </xdr:cNvSpPr>
      </xdr:nvSpPr>
      <xdr:spPr bwMode="auto">
        <a:xfrm>
          <a:off x="1362075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88" name="Text Box 605">
          <a:extLst>
            <a:ext uri="{FF2B5EF4-FFF2-40B4-BE49-F238E27FC236}">
              <a16:creationId xmlns="" xmlns:a16="http://schemas.microsoft.com/office/drawing/2014/main" id="{00000000-0008-0000-0000-0000CC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89" name="Text Box 606">
          <a:extLst>
            <a:ext uri="{FF2B5EF4-FFF2-40B4-BE49-F238E27FC236}">
              <a16:creationId xmlns="" xmlns:a16="http://schemas.microsoft.com/office/drawing/2014/main" id="{00000000-0008-0000-0000-0000CD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390" name="Text Box 607">
          <a:extLst>
            <a:ext uri="{FF2B5EF4-FFF2-40B4-BE49-F238E27FC236}">
              <a16:creationId xmlns="" xmlns:a16="http://schemas.microsoft.com/office/drawing/2014/main" id="{00000000-0008-0000-0000-0000CE360A00}"/>
            </a:ext>
          </a:extLst>
        </xdr:cNvPr>
        <xdr:cNvSpPr txBox="1">
          <a:spLocks noChangeArrowheads="1"/>
        </xdr:cNvSpPr>
      </xdr:nvSpPr>
      <xdr:spPr bwMode="auto">
        <a:xfrm>
          <a:off x="1362075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91" name="Text Box 608">
          <a:extLst>
            <a:ext uri="{FF2B5EF4-FFF2-40B4-BE49-F238E27FC236}">
              <a16:creationId xmlns="" xmlns:a16="http://schemas.microsoft.com/office/drawing/2014/main" id="{00000000-0008-0000-0000-0000CF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392" name="Text Box 609">
          <a:extLst>
            <a:ext uri="{FF2B5EF4-FFF2-40B4-BE49-F238E27FC236}">
              <a16:creationId xmlns="" xmlns:a16="http://schemas.microsoft.com/office/drawing/2014/main" id="{00000000-0008-0000-0000-0000D0360A00}"/>
            </a:ext>
          </a:extLst>
        </xdr:cNvPr>
        <xdr:cNvSpPr txBox="1">
          <a:spLocks noChangeArrowheads="1"/>
        </xdr:cNvSpPr>
      </xdr:nvSpPr>
      <xdr:spPr bwMode="auto">
        <a:xfrm>
          <a:off x="1362075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93" name="Text Box 610">
          <a:extLst>
            <a:ext uri="{FF2B5EF4-FFF2-40B4-BE49-F238E27FC236}">
              <a16:creationId xmlns="" xmlns:a16="http://schemas.microsoft.com/office/drawing/2014/main" id="{00000000-0008-0000-0000-0000D1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94" name="Text Box 611">
          <a:extLst>
            <a:ext uri="{FF2B5EF4-FFF2-40B4-BE49-F238E27FC236}">
              <a16:creationId xmlns="" xmlns:a16="http://schemas.microsoft.com/office/drawing/2014/main" id="{00000000-0008-0000-0000-0000D2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395" name="Text Box 612">
          <a:extLst>
            <a:ext uri="{FF2B5EF4-FFF2-40B4-BE49-F238E27FC236}">
              <a16:creationId xmlns="" xmlns:a16="http://schemas.microsoft.com/office/drawing/2014/main" id="{00000000-0008-0000-0000-0000D3360A00}"/>
            </a:ext>
          </a:extLst>
        </xdr:cNvPr>
        <xdr:cNvSpPr txBox="1">
          <a:spLocks noChangeArrowheads="1"/>
        </xdr:cNvSpPr>
      </xdr:nvSpPr>
      <xdr:spPr bwMode="auto">
        <a:xfrm>
          <a:off x="1362075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96" name="Text Box 613">
          <a:extLst>
            <a:ext uri="{FF2B5EF4-FFF2-40B4-BE49-F238E27FC236}">
              <a16:creationId xmlns="" xmlns:a16="http://schemas.microsoft.com/office/drawing/2014/main" id="{00000000-0008-0000-0000-0000D4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62</xdr:row>
      <xdr:rowOff>0</xdr:rowOff>
    </xdr:from>
    <xdr:to>
      <xdr:col>3</xdr:col>
      <xdr:colOff>266700</xdr:colOff>
      <xdr:row>63</xdr:row>
      <xdr:rowOff>38100</xdr:rowOff>
    </xdr:to>
    <xdr:sp macro="" textlink="">
      <xdr:nvSpPr>
        <xdr:cNvPr id="669397" name="Text Box 614">
          <a:extLst>
            <a:ext uri="{FF2B5EF4-FFF2-40B4-BE49-F238E27FC236}">
              <a16:creationId xmlns="" xmlns:a16="http://schemas.microsoft.com/office/drawing/2014/main" id="{00000000-0008-0000-0000-0000D5360A00}"/>
            </a:ext>
          </a:extLst>
        </xdr:cNvPr>
        <xdr:cNvSpPr txBox="1">
          <a:spLocks noChangeArrowheads="1"/>
        </xdr:cNvSpPr>
      </xdr:nvSpPr>
      <xdr:spPr bwMode="auto">
        <a:xfrm>
          <a:off x="1362075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98" name="Text Box 615">
          <a:extLst>
            <a:ext uri="{FF2B5EF4-FFF2-40B4-BE49-F238E27FC236}">
              <a16:creationId xmlns="" xmlns:a16="http://schemas.microsoft.com/office/drawing/2014/main" id="{00000000-0008-0000-0000-0000D6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399" name="Text Box 616">
          <a:extLst>
            <a:ext uri="{FF2B5EF4-FFF2-40B4-BE49-F238E27FC236}">
              <a16:creationId xmlns="" xmlns:a16="http://schemas.microsoft.com/office/drawing/2014/main" id="{00000000-0008-0000-0000-0000D7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400" name="Text Box 617">
          <a:extLst>
            <a:ext uri="{FF2B5EF4-FFF2-40B4-BE49-F238E27FC236}">
              <a16:creationId xmlns="" xmlns:a16="http://schemas.microsoft.com/office/drawing/2014/main" id="{00000000-0008-0000-0000-0000D8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401" name="Text Box 618">
          <a:extLst>
            <a:ext uri="{FF2B5EF4-FFF2-40B4-BE49-F238E27FC236}">
              <a16:creationId xmlns="" xmlns:a16="http://schemas.microsoft.com/office/drawing/2014/main" id="{00000000-0008-0000-0000-0000D9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402" name="Text Box 619">
          <a:extLst>
            <a:ext uri="{FF2B5EF4-FFF2-40B4-BE49-F238E27FC236}">
              <a16:creationId xmlns="" xmlns:a16="http://schemas.microsoft.com/office/drawing/2014/main" id="{00000000-0008-0000-0000-0000DA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403" name="Text Box 620">
          <a:extLst>
            <a:ext uri="{FF2B5EF4-FFF2-40B4-BE49-F238E27FC236}">
              <a16:creationId xmlns="" xmlns:a16="http://schemas.microsoft.com/office/drawing/2014/main" id="{00000000-0008-0000-0000-0000DB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404" name="Text Box 621">
          <a:extLst>
            <a:ext uri="{FF2B5EF4-FFF2-40B4-BE49-F238E27FC236}">
              <a16:creationId xmlns="" xmlns:a16="http://schemas.microsoft.com/office/drawing/2014/main" id="{00000000-0008-0000-0000-0000DC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405" name="Text Box 622">
          <a:extLst>
            <a:ext uri="{FF2B5EF4-FFF2-40B4-BE49-F238E27FC236}">
              <a16:creationId xmlns="" xmlns:a16="http://schemas.microsoft.com/office/drawing/2014/main" id="{00000000-0008-0000-0000-0000DD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406" name="Text Box 623">
          <a:extLst>
            <a:ext uri="{FF2B5EF4-FFF2-40B4-BE49-F238E27FC236}">
              <a16:creationId xmlns="" xmlns:a16="http://schemas.microsoft.com/office/drawing/2014/main" id="{00000000-0008-0000-0000-0000DE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407" name="Text Box 624">
          <a:extLst>
            <a:ext uri="{FF2B5EF4-FFF2-40B4-BE49-F238E27FC236}">
              <a16:creationId xmlns="" xmlns:a16="http://schemas.microsoft.com/office/drawing/2014/main" id="{00000000-0008-0000-0000-0000DF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408" name="Text Box 625">
          <a:extLst>
            <a:ext uri="{FF2B5EF4-FFF2-40B4-BE49-F238E27FC236}">
              <a16:creationId xmlns="" xmlns:a16="http://schemas.microsoft.com/office/drawing/2014/main" id="{00000000-0008-0000-0000-0000E0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409" name="Text Box 626">
          <a:extLst>
            <a:ext uri="{FF2B5EF4-FFF2-40B4-BE49-F238E27FC236}">
              <a16:creationId xmlns="" xmlns:a16="http://schemas.microsoft.com/office/drawing/2014/main" id="{00000000-0008-0000-0000-0000E1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410" name="Text Box 627">
          <a:extLst>
            <a:ext uri="{FF2B5EF4-FFF2-40B4-BE49-F238E27FC236}">
              <a16:creationId xmlns="" xmlns:a16="http://schemas.microsoft.com/office/drawing/2014/main" id="{00000000-0008-0000-0000-0000E2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411" name="Text Box 628">
          <a:extLst>
            <a:ext uri="{FF2B5EF4-FFF2-40B4-BE49-F238E27FC236}">
              <a16:creationId xmlns="" xmlns:a16="http://schemas.microsoft.com/office/drawing/2014/main" id="{00000000-0008-0000-0000-0000E3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62</xdr:row>
      <xdr:rowOff>0</xdr:rowOff>
    </xdr:from>
    <xdr:to>
      <xdr:col>3</xdr:col>
      <xdr:colOff>238125</xdr:colOff>
      <xdr:row>63</xdr:row>
      <xdr:rowOff>38100</xdr:rowOff>
    </xdr:to>
    <xdr:sp macro="" textlink="">
      <xdr:nvSpPr>
        <xdr:cNvPr id="669412" name="Text Box 629">
          <a:extLst>
            <a:ext uri="{FF2B5EF4-FFF2-40B4-BE49-F238E27FC236}">
              <a16:creationId xmlns="" xmlns:a16="http://schemas.microsoft.com/office/drawing/2014/main" id="{00000000-0008-0000-0000-0000E4360A00}"/>
            </a:ext>
          </a:extLst>
        </xdr:cNvPr>
        <xdr:cNvSpPr txBox="1">
          <a:spLocks noChangeArrowheads="1"/>
        </xdr:cNvSpPr>
      </xdr:nvSpPr>
      <xdr:spPr bwMode="auto">
        <a:xfrm>
          <a:off x="1333500" y="252507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161925</xdr:colOff>
      <xdr:row>62</xdr:row>
      <xdr:rowOff>0</xdr:rowOff>
    </xdr:from>
    <xdr:to>
      <xdr:col>4</xdr:col>
      <xdr:colOff>238125</xdr:colOff>
      <xdr:row>63</xdr:row>
      <xdr:rowOff>38100</xdr:rowOff>
    </xdr:to>
    <xdr:sp macro="" textlink="">
      <xdr:nvSpPr>
        <xdr:cNvPr id="669413" name="Text Box 630">
          <a:extLst>
            <a:ext uri="{FF2B5EF4-FFF2-40B4-BE49-F238E27FC236}">
              <a16:creationId xmlns="" xmlns:a16="http://schemas.microsoft.com/office/drawing/2014/main" id="{00000000-0008-0000-0000-0000E5360A00}"/>
            </a:ext>
          </a:extLst>
        </xdr:cNvPr>
        <xdr:cNvSpPr txBox="1">
          <a:spLocks noChangeArrowheads="1"/>
        </xdr:cNvSpPr>
      </xdr:nvSpPr>
      <xdr:spPr bwMode="auto">
        <a:xfrm>
          <a:off x="2028825" y="277272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161925</xdr:colOff>
      <xdr:row>62</xdr:row>
      <xdr:rowOff>0</xdr:rowOff>
    </xdr:from>
    <xdr:to>
      <xdr:col>4</xdr:col>
      <xdr:colOff>238125</xdr:colOff>
      <xdr:row>63</xdr:row>
      <xdr:rowOff>38100</xdr:rowOff>
    </xdr:to>
    <xdr:sp macro="" textlink="">
      <xdr:nvSpPr>
        <xdr:cNvPr id="669414" name="Text Box 631">
          <a:extLst>
            <a:ext uri="{FF2B5EF4-FFF2-40B4-BE49-F238E27FC236}">
              <a16:creationId xmlns="" xmlns:a16="http://schemas.microsoft.com/office/drawing/2014/main" id="{00000000-0008-0000-0000-0000E6360A00}"/>
            </a:ext>
          </a:extLst>
        </xdr:cNvPr>
        <xdr:cNvSpPr txBox="1">
          <a:spLocks noChangeArrowheads="1"/>
        </xdr:cNvSpPr>
      </xdr:nvSpPr>
      <xdr:spPr bwMode="auto">
        <a:xfrm>
          <a:off x="2028825" y="277272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190500</xdr:colOff>
      <xdr:row>62</xdr:row>
      <xdr:rowOff>0</xdr:rowOff>
    </xdr:from>
    <xdr:to>
      <xdr:col>9</xdr:col>
      <xdr:colOff>266700</xdr:colOff>
      <xdr:row>63</xdr:row>
      <xdr:rowOff>38100</xdr:rowOff>
    </xdr:to>
    <xdr:sp macro="" textlink="">
      <xdr:nvSpPr>
        <xdr:cNvPr id="669415" name="Text Box 632">
          <a:extLst>
            <a:ext uri="{FF2B5EF4-FFF2-40B4-BE49-F238E27FC236}">
              <a16:creationId xmlns="" xmlns:a16="http://schemas.microsoft.com/office/drawing/2014/main" id="{00000000-0008-0000-0000-0000E7360A00}"/>
            </a:ext>
          </a:extLst>
        </xdr:cNvPr>
        <xdr:cNvSpPr txBox="1">
          <a:spLocks noChangeArrowheads="1"/>
        </xdr:cNvSpPr>
      </xdr:nvSpPr>
      <xdr:spPr bwMode="auto">
        <a:xfrm>
          <a:off x="6696075" y="288893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16" name="Text Box 212">
          <a:extLst>
            <a:ext uri="{FF2B5EF4-FFF2-40B4-BE49-F238E27FC236}">
              <a16:creationId xmlns="" xmlns:a16="http://schemas.microsoft.com/office/drawing/2014/main" id="{00000000-0008-0000-0000-0000E836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417" name="Text Box 213">
          <a:extLst>
            <a:ext uri="{FF2B5EF4-FFF2-40B4-BE49-F238E27FC236}">
              <a16:creationId xmlns="" xmlns:a16="http://schemas.microsoft.com/office/drawing/2014/main" id="{00000000-0008-0000-0000-0000E936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18" name="Text Box 214">
          <a:extLst>
            <a:ext uri="{FF2B5EF4-FFF2-40B4-BE49-F238E27FC236}">
              <a16:creationId xmlns="" xmlns:a16="http://schemas.microsoft.com/office/drawing/2014/main" id="{00000000-0008-0000-0000-0000EA36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419" name="Text Box 215">
          <a:extLst>
            <a:ext uri="{FF2B5EF4-FFF2-40B4-BE49-F238E27FC236}">
              <a16:creationId xmlns="" xmlns:a16="http://schemas.microsoft.com/office/drawing/2014/main" id="{00000000-0008-0000-0000-0000EB36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20" name="Text Box 216">
          <a:extLst>
            <a:ext uri="{FF2B5EF4-FFF2-40B4-BE49-F238E27FC236}">
              <a16:creationId xmlns="" xmlns:a16="http://schemas.microsoft.com/office/drawing/2014/main" id="{00000000-0008-0000-0000-0000EC36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421" name="Text Box 217">
          <a:extLst>
            <a:ext uri="{FF2B5EF4-FFF2-40B4-BE49-F238E27FC236}">
              <a16:creationId xmlns="" xmlns:a16="http://schemas.microsoft.com/office/drawing/2014/main" id="{00000000-0008-0000-0000-0000ED36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22" name="Text Box 218">
          <a:extLst>
            <a:ext uri="{FF2B5EF4-FFF2-40B4-BE49-F238E27FC236}">
              <a16:creationId xmlns="" xmlns:a16="http://schemas.microsoft.com/office/drawing/2014/main" id="{00000000-0008-0000-0000-0000EE36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23" name="Text Box 219">
          <a:extLst>
            <a:ext uri="{FF2B5EF4-FFF2-40B4-BE49-F238E27FC236}">
              <a16:creationId xmlns="" xmlns:a16="http://schemas.microsoft.com/office/drawing/2014/main" id="{00000000-0008-0000-0000-0000EF36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424" name="Text Box 220">
          <a:extLst>
            <a:ext uri="{FF2B5EF4-FFF2-40B4-BE49-F238E27FC236}">
              <a16:creationId xmlns="" xmlns:a16="http://schemas.microsoft.com/office/drawing/2014/main" id="{00000000-0008-0000-0000-0000F036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25" name="Text Box 221">
          <a:extLst>
            <a:ext uri="{FF2B5EF4-FFF2-40B4-BE49-F238E27FC236}">
              <a16:creationId xmlns="" xmlns:a16="http://schemas.microsoft.com/office/drawing/2014/main" id="{00000000-0008-0000-0000-0000F136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426" name="Text Box 222">
          <a:extLst>
            <a:ext uri="{FF2B5EF4-FFF2-40B4-BE49-F238E27FC236}">
              <a16:creationId xmlns="" xmlns:a16="http://schemas.microsoft.com/office/drawing/2014/main" id="{00000000-0008-0000-0000-0000F236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27" name="Text Box 223">
          <a:extLst>
            <a:ext uri="{FF2B5EF4-FFF2-40B4-BE49-F238E27FC236}">
              <a16:creationId xmlns="" xmlns:a16="http://schemas.microsoft.com/office/drawing/2014/main" id="{00000000-0008-0000-0000-0000F336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28" name="Text Box 224">
          <a:extLst>
            <a:ext uri="{FF2B5EF4-FFF2-40B4-BE49-F238E27FC236}">
              <a16:creationId xmlns="" xmlns:a16="http://schemas.microsoft.com/office/drawing/2014/main" id="{00000000-0008-0000-0000-0000F436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429" name="Text Box 225">
          <a:extLst>
            <a:ext uri="{FF2B5EF4-FFF2-40B4-BE49-F238E27FC236}">
              <a16:creationId xmlns="" xmlns:a16="http://schemas.microsoft.com/office/drawing/2014/main" id="{00000000-0008-0000-0000-0000F536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30" name="Text Box 226">
          <a:extLst>
            <a:ext uri="{FF2B5EF4-FFF2-40B4-BE49-F238E27FC236}">
              <a16:creationId xmlns="" xmlns:a16="http://schemas.microsoft.com/office/drawing/2014/main" id="{00000000-0008-0000-0000-0000F636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431" name="Text Box 227">
          <a:extLst>
            <a:ext uri="{FF2B5EF4-FFF2-40B4-BE49-F238E27FC236}">
              <a16:creationId xmlns="" xmlns:a16="http://schemas.microsoft.com/office/drawing/2014/main" id="{00000000-0008-0000-0000-0000F736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32" name="Text Box 228">
          <a:extLst>
            <a:ext uri="{FF2B5EF4-FFF2-40B4-BE49-F238E27FC236}">
              <a16:creationId xmlns="" xmlns:a16="http://schemas.microsoft.com/office/drawing/2014/main" id="{00000000-0008-0000-0000-0000F836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433" name="Text Box 229">
          <a:extLst>
            <a:ext uri="{FF2B5EF4-FFF2-40B4-BE49-F238E27FC236}">
              <a16:creationId xmlns="" xmlns:a16="http://schemas.microsoft.com/office/drawing/2014/main" id="{00000000-0008-0000-0000-0000F936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34" name="Text Box 230">
          <a:extLst>
            <a:ext uri="{FF2B5EF4-FFF2-40B4-BE49-F238E27FC236}">
              <a16:creationId xmlns="" xmlns:a16="http://schemas.microsoft.com/office/drawing/2014/main" id="{00000000-0008-0000-0000-0000FA36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35" name="Text Box 231">
          <a:extLst>
            <a:ext uri="{FF2B5EF4-FFF2-40B4-BE49-F238E27FC236}">
              <a16:creationId xmlns="" xmlns:a16="http://schemas.microsoft.com/office/drawing/2014/main" id="{00000000-0008-0000-0000-0000FB36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436" name="Text Box 232">
          <a:extLst>
            <a:ext uri="{FF2B5EF4-FFF2-40B4-BE49-F238E27FC236}">
              <a16:creationId xmlns="" xmlns:a16="http://schemas.microsoft.com/office/drawing/2014/main" id="{00000000-0008-0000-0000-0000FC36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37" name="Text Box 233">
          <a:extLst>
            <a:ext uri="{FF2B5EF4-FFF2-40B4-BE49-F238E27FC236}">
              <a16:creationId xmlns="" xmlns:a16="http://schemas.microsoft.com/office/drawing/2014/main" id="{00000000-0008-0000-0000-0000FD36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438" name="Text Box 234">
          <a:extLst>
            <a:ext uri="{FF2B5EF4-FFF2-40B4-BE49-F238E27FC236}">
              <a16:creationId xmlns="" xmlns:a16="http://schemas.microsoft.com/office/drawing/2014/main" id="{00000000-0008-0000-0000-0000FE36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39" name="Text Box 235">
          <a:extLst>
            <a:ext uri="{FF2B5EF4-FFF2-40B4-BE49-F238E27FC236}">
              <a16:creationId xmlns="" xmlns:a16="http://schemas.microsoft.com/office/drawing/2014/main" id="{00000000-0008-0000-0000-0000FF36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40" name="Text Box 236">
          <a:extLst>
            <a:ext uri="{FF2B5EF4-FFF2-40B4-BE49-F238E27FC236}">
              <a16:creationId xmlns="" xmlns:a16="http://schemas.microsoft.com/office/drawing/2014/main" id="{00000000-0008-0000-0000-000000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441" name="Text Box 237">
          <a:extLst>
            <a:ext uri="{FF2B5EF4-FFF2-40B4-BE49-F238E27FC236}">
              <a16:creationId xmlns="" xmlns:a16="http://schemas.microsoft.com/office/drawing/2014/main" id="{00000000-0008-0000-0000-000001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42" name="Text Box 238">
          <a:extLst>
            <a:ext uri="{FF2B5EF4-FFF2-40B4-BE49-F238E27FC236}">
              <a16:creationId xmlns="" xmlns:a16="http://schemas.microsoft.com/office/drawing/2014/main" id="{00000000-0008-0000-0000-000002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443" name="Text Box 239">
          <a:extLst>
            <a:ext uri="{FF2B5EF4-FFF2-40B4-BE49-F238E27FC236}">
              <a16:creationId xmlns="" xmlns:a16="http://schemas.microsoft.com/office/drawing/2014/main" id="{00000000-0008-0000-0000-000003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44" name="Text Box 240">
          <a:extLst>
            <a:ext uri="{FF2B5EF4-FFF2-40B4-BE49-F238E27FC236}">
              <a16:creationId xmlns="" xmlns:a16="http://schemas.microsoft.com/office/drawing/2014/main" id="{00000000-0008-0000-0000-000004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445" name="Text Box 241">
          <a:extLst>
            <a:ext uri="{FF2B5EF4-FFF2-40B4-BE49-F238E27FC236}">
              <a16:creationId xmlns="" xmlns:a16="http://schemas.microsoft.com/office/drawing/2014/main" id="{00000000-0008-0000-0000-000005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46" name="Text Box 242">
          <a:extLst>
            <a:ext uri="{FF2B5EF4-FFF2-40B4-BE49-F238E27FC236}">
              <a16:creationId xmlns="" xmlns:a16="http://schemas.microsoft.com/office/drawing/2014/main" id="{00000000-0008-0000-0000-000006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447" name="Text Box 243">
          <a:extLst>
            <a:ext uri="{FF2B5EF4-FFF2-40B4-BE49-F238E27FC236}">
              <a16:creationId xmlns="" xmlns:a16="http://schemas.microsoft.com/office/drawing/2014/main" id="{00000000-0008-0000-0000-000007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48" name="Text Box 244">
          <a:extLst>
            <a:ext uri="{FF2B5EF4-FFF2-40B4-BE49-F238E27FC236}">
              <a16:creationId xmlns="" xmlns:a16="http://schemas.microsoft.com/office/drawing/2014/main" id="{00000000-0008-0000-0000-000008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49" name="Text Box 245">
          <a:extLst>
            <a:ext uri="{FF2B5EF4-FFF2-40B4-BE49-F238E27FC236}">
              <a16:creationId xmlns="" xmlns:a16="http://schemas.microsoft.com/office/drawing/2014/main" id="{00000000-0008-0000-0000-000009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450" name="Text Box 246">
          <a:extLst>
            <a:ext uri="{FF2B5EF4-FFF2-40B4-BE49-F238E27FC236}">
              <a16:creationId xmlns="" xmlns:a16="http://schemas.microsoft.com/office/drawing/2014/main" id="{00000000-0008-0000-0000-00000A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51" name="Text Box 247">
          <a:extLst>
            <a:ext uri="{FF2B5EF4-FFF2-40B4-BE49-F238E27FC236}">
              <a16:creationId xmlns="" xmlns:a16="http://schemas.microsoft.com/office/drawing/2014/main" id="{00000000-0008-0000-0000-00000B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452" name="Text Box 248">
          <a:extLst>
            <a:ext uri="{FF2B5EF4-FFF2-40B4-BE49-F238E27FC236}">
              <a16:creationId xmlns="" xmlns:a16="http://schemas.microsoft.com/office/drawing/2014/main" id="{00000000-0008-0000-0000-00000C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53" name="Text Box 249">
          <a:extLst>
            <a:ext uri="{FF2B5EF4-FFF2-40B4-BE49-F238E27FC236}">
              <a16:creationId xmlns="" xmlns:a16="http://schemas.microsoft.com/office/drawing/2014/main" id="{00000000-0008-0000-0000-00000D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54" name="Text Box 250">
          <a:extLst>
            <a:ext uri="{FF2B5EF4-FFF2-40B4-BE49-F238E27FC236}">
              <a16:creationId xmlns="" xmlns:a16="http://schemas.microsoft.com/office/drawing/2014/main" id="{00000000-0008-0000-0000-00000E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455" name="Text Box 251">
          <a:extLst>
            <a:ext uri="{FF2B5EF4-FFF2-40B4-BE49-F238E27FC236}">
              <a16:creationId xmlns="" xmlns:a16="http://schemas.microsoft.com/office/drawing/2014/main" id="{00000000-0008-0000-0000-00000F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56" name="Text Box 252">
          <a:extLst>
            <a:ext uri="{FF2B5EF4-FFF2-40B4-BE49-F238E27FC236}">
              <a16:creationId xmlns="" xmlns:a16="http://schemas.microsoft.com/office/drawing/2014/main" id="{00000000-0008-0000-0000-000010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457" name="Text Box 253">
          <a:extLst>
            <a:ext uri="{FF2B5EF4-FFF2-40B4-BE49-F238E27FC236}">
              <a16:creationId xmlns="" xmlns:a16="http://schemas.microsoft.com/office/drawing/2014/main" id="{00000000-0008-0000-0000-000011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58" name="Text Box 254">
          <a:extLst>
            <a:ext uri="{FF2B5EF4-FFF2-40B4-BE49-F238E27FC236}">
              <a16:creationId xmlns="" xmlns:a16="http://schemas.microsoft.com/office/drawing/2014/main" id="{00000000-0008-0000-0000-000012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459" name="Text Box 255">
          <a:extLst>
            <a:ext uri="{FF2B5EF4-FFF2-40B4-BE49-F238E27FC236}">
              <a16:creationId xmlns="" xmlns:a16="http://schemas.microsoft.com/office/drawing/2014/main" id="{00000000-0008-0000-0000-000013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60" name="Text Box 256">
          <a:extLst>
            <a:ext uri="{FF2B5EF4-FFF2-40B4-BE49-F238E27FC236}">
              <a16:creationId xmlns="" xmlns:a16="http://schemas.microsoft.com/office/drawing/2014/main" id="{00000000-0008-0000-0000-000014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61" name="Text Box 257">
          <a:extLst>
            <a:ext uri="{FF2B5EF4-FFF2-40B4-BE49-F238E27FC236}">
              <a16:creationId xmlns="" xmlns:a16="http://schemas.microsoft.com/office/drawing/2014/main" id="{00000000-0008-0000-0000-000015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462" name="Text Box 258">
          <a:extLst>
            <a:ext uri="{FF2B5EF4-FFF2-40B4-BE49-F238E27FC236}">
              <a16:creationId xmlns="" xmlns:a16="http://schemas.microsoft.com/office/drawing/2014/main" id="{00000000-0008-0000-0000-000016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63" name="Text Box 259">
          <a:extLst>
            <a:ext uri="{FF2B5EF4-FFF2-40B4-BE49-F238E27FC236}">
              <a16:creationId xmlns="" xmlns:a16="http://schemas.microsoft.com/office/drawing/2014/main" id="{00000000-0008-0000-0000-000017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464" name="Text Box 260">
          <a:extLst>
            <a:ext uri="{FF2B5EF4-FFF2-40B4-BE49-F238E27FC236}">
              <a16:creationId xmlns="" xmlns:a16="http://schemas.microsoft.com/office/drawing/2014/main" id="{00000000-0008-0000-0000-000018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65" name="Text Box 261">
          <a:extLst>
            <a:ext uri="{FF2B5EF4-FFF2-40B4-BE49-F238E27FC236}">
              <a16:creationId xmlns="" xmlns:a16="http://schemas.microsoft.com/office/drawing/2014/main" id="{00000000-0008-0000-0000-000019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66" name="Text Box 262">
          <a:extLst>
            <a:ext uri="{FF2B5EF4-FFF2-40B4-BE49-F238E27FC236}">
              <a16:creationId xmlns="" xmlns:a16="http://schemas.microsoft.com/office/drawing/2014/main" id="{00000000-0008-0000-0000-00001A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467" name="Text Box 263">
          <a:extLst>
            <a:ext uri="{FF2B5EF4-FFF2-40B4-BE49-F238E27FC236}">
              <a16:creationId xmlns="" xmlns:a16="http://schemas.microsoft.com/office/drawing/2014/main" id="{00000000-0008-0000-0000-00001B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68" name="Text Box 264">
          <a:extLst>
            <a:ext uri="{FF2B5EF4-FFF2-40B4-BE49-F238E27FC236}">
              <a16:creationId xmlns="" xmlns:a16="http://schemas.microsoft.com/office/drawing/2014/main" id="{00000000-0008-0000-0000-00001C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469" name="Text Box 265">
          <a:extLst>
            <a:ext uri="{FF2B5EF4-FFF2-40B4-BE49-F238E27FC236}">
              <a16:creationId xmlns="" xmlns:a16="http://schemas.microsoft.com/office/drawing/2014/main" id="{00000000-0008-0000-0000-00001D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70" name="Text Box 266">
          <a:extLst>
            <a:ext uri="{FF2B5EF4-FFF2-40B4-BE49-F238E27FC236}">
              <a16:creationId xmlns="" xmlns:a16="http://schemas.microsoft.com/office/drawing/2014/main" id="{00000000-0008-0000-0000-00001E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471" name="Text Box 267">
          <a:extLst>
            <a:ext uri="{FF2B5EF4-FFF2-40B4-BE49-F238E27FC236}">
              <a16:creationId xmlns="" xmlns:a16="http://schemas.microsoft.com/office/drawing/2014/main" id="{00000000-0008-0000-0000-00001F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72" name="Text Box 268">
          <a:extLst>
            <a:ext uri="{FF2B5EF4-FFF2-40B4-BE49-F238E27FC236}">
              <a16:creationId xmlns="" xmlns:a16="http://schemas.microsoft.com/office/drawing/2014/main" id="{00000000-0008-0000-0000-000020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473" name="Text Box 269">
          <a:extLst>
            <a:ext uri="{FF2B5EF4-FFF2-40B4-BE49-F238E27FC236}">
              <a16:creationId xmlns="" xmlns:a16="http://schemas.microsoft.com/office/drawing/2014/main" id="{00000000-0008-0000-0000-000021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74" name="Text Box 270">
          <a:extLst>
            <a:ext uri="{FF2B5EF4-FFF2-40B4-BE49-F238E27FC236}">
              <a16:creationId xmlns="" xmlns:a16="http://schemas.microsoft.com/office/drawing/2014/main" id="{00000000-0008-0000-0000-000022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75" name="Text Box 271">
          <a:extLst>
            <a:ext uri="{FF2B5EF4-FFF2-40B4-BE49-F238E27FC236}">
              <a16:creationId xmlns="" xmlns:a16="http://schemas.microsoft.com/office/drawing/2014/main" id="{00000000-0008-0000-0000-000023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476" name="Text Box 272">
          <a:extLst>
            <a:ext uri="{FF2B5EF4-FFF2-40B4-BE49-F238E27FC236}">
              <a16:creationId xmlns="" xmlns:a16="http://schemas.microsoft.com/office/drawing/2014/main" id="{00000000-0008-0000-0000-000024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77" name="Text Box 273">
          <a:extLst>
            <a:ext uri="{FF2B5EF4-FFF2-40B4-BE49-F238E27FC236}">
              <a16:creationId xmlns="" xmlns:a16="http://schemas.microsoft.com/office/drawing/2014/main" id="{00000000-0008-0000-0000-000025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478" name="Text Box 274">
          <a:extLst>
            <a:ext uri="{FF2B5EF4-FFF2-40B4-BE49-F238E27FC236}">
              <a16:creationId xmlns="" xmlns:a16="http://schemas.microsoft.com/office/drawing/2014/main" id="{00000000-0008-0000-0000-000026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79" name="Text Box 275">
          <a:extLst>
            <a:ext uri="{FF2B5EF4-FFF2-40B4-BE49-F238E27FC236}">
              <a16:creationId xmlns="" xmlns:a16="http://schemas.microsoft.com/office/drawing/2014/main" id="{00000000-0008-0000-0000-000027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80" name="Text Box 276">
          <a:extLst>
            <a:ext uri="{FF2B5EF4-FFF2-40B4-BE49-F238E27FC236}">
              <a16:creationId xmlns="" xmlns:a16="http://schemas.microsoft.com/office/drawing/2014/main" id="{00000000-0008-0000-0000-000028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481" name="Text Box 277">
          <a:extLst>
            <a:ext uri="{FF2B5EF4-FFF2-40B4-BE49-F238E27FC236}">
              <a16:creationId xmlns="" xmlns:a16="http://schemas.microsoft.com/office/drawing/2014/main" id="{00000000-0008-0000-0000-000029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82" name="Text Box 278">
          <a:extLst>
            <a:ext uri="{FF2B5EF4-FFF2-40B4-BE49-F238E27FC236}">
              <a16:creationId xmlns="" xmlns:a16="http://schemas.microsoft.com/office/drawing/2014/main" id="{00000000-0008-0000-0000-00002A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83" name="Text Box 280">
          <a:extLst>
            <a:ext uri="{FF2B5EF4-FFF2-40B4-BE49-F238E27FC236}">
              <a16:creationId xmlns="" xmlns:a16="http://schemas.microsoft.com/office/drawing/2014/main" id="{00000000-0008-0000-0000-00002B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84" name="Text Box 282">
          <a:extLst>
            <a:ext uri="{FF2B5EF4-FFF2-40B4-BE49-F238E27FC236}">
              <a16:creationId xmlns="" xmlns:a16="http://schemas.microsoft.com/office/drawing/2014/main" id="{00000000-0008-0000-0000-00002C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85" name="Text Box 283">
          <a:extLst>
            <a:ext uri="{FF2B5EF4-FFF2-40B4-BE49-F238E27FC236}">
              <a16:creationId xmlns="" xmlns:a16="http://schemas.microsoft.com/office/drawing/2014/main" id="{00000000-0008-0000-0000-00002D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86" name="Text Box 285">
          <a:extLst>
            <a:ext uri="{FF2B5EF4-FFF2-40B4-BE49-F238E27FC236}">
              <a16:creationId xmlns="" xmlns:a16="http://schemas.microsoft.com/office/drawing/2014/main" id="{00000000-0008-0000-0000-00002E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87" name="Text Box 287">
          <a:extLst>
            <a:ext uri="{FF2B5EF4-FFF2-40B4-BE49-F238E27FC236}">
              <a16:creationId xmlns="" xmlns:a16="http://schemas.microsoft.com/office/drawing/2014/main" id="{00000000-0008-0000-0000-00002F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88" name="Text Box 288">
          <a:extLst>
            <a:ext uri="{FF2B5EF4-FFF2-40B4-BE49-F238E27FC236}">
              <a16:creationId xmlns="" xmlns:a16="http://schemas.microsoft.com/office/drawing/2014/main" id="{00000000-0008-0000-0000-000030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89" name="Text Box 289">
          <a:extLst>
            <a:ext uri="{FF2B5EF4-FFF2-40B4-BE49-F238E27FC236}">
              <a16:creationId xmlns="" xmlns:a16="http://schemas.microsoft.com/office/drawing/2014/main" id="{00000000-0008-0000-0000-000031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90" name="Text Box 290">
          <a:extLst>
            <a:ext uri="{FF2B5EF4-FFF2-40B4-BE49-F238E27FC236}">
              <a16:creationId xmlns="" xmlns:a16="http://schemas.microsoft.com/office/drawing/2014/main" id="{00000000-0008-0000-0000-000032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91" name="Text Box 291">
          <a:extLst>
            <a:ext uri="{FF2B5EF4-FFF2-40B4-BE49-F238E27FC236}">
              <a16:creationId xmlns="" xmlns:a16="http://schemas.microsoft.com/office/drawing/2014/main" id="{00000000-0008-0000-0000-000033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92" name="Text Box 292">
          <a:extLst>
            <a:ext uri="{FF2B5EF4-FFF2-40B4-BE49-F238E27FC236}">
              <a16:creationId xmlns="" xmlns:a16="http://schemas.microsoft.com/office/drawing/2014/main" id="{00000000-0008-0000-0000-000034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93" name="Text Box 293">
          <a:extLst>
            <a:ext uri="{FF2B5EF4-FFF2-40B4-BE49-F238E27FC236}">
              <a16:creationId xmlns="" xmlns:a16="http://schemas.microsoft.com/office/drawing/2014/main" id="{00000000-0008-0000-0000-000035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647700</xdr:colOff>
      <xdr:row>4</xdr:row>
      <xdr:rowOff>123825</xdr:rowOff>
    </xdr:from>
    <xdr:to>
      <xdr:col>7</xdr:col>
      <xdr:colOff>723900</xdr:colOff>
      <xdr:row>6</xdr:row>
      <xdr:rowOff>57150</xdr:rowOff>
    </xdr:to>
    <xdr:sp macro="" textlink="">
      <xdr:nvSpPr>
        <xdr:cNvPr id="669494" name="Text Box 107">
          <a:extLst>
            <a:ext uri="{FF2B5EF4-FFF2-40B4-BE49-F238E27FC236}">
              <a16:creationId xmlns="" xmlns:a16="http://schemas.microsoft.com/office/drawing/2014/main" id="{00000000-0008-0000-0000-000036370A00}"/>
            </a:ext>
          </a:extLst>
        </xdr:cNvPr>
        <xdr:cNvSpPr txBox="1">
          <a:spLocks noChangeArrowheads="1"/>
        </xdr:cNvSpPr>
      </xdr:nvSpPr>
      <xdr:spPr bwMode="auto">
        <a:xfrm>
          <a:off x="6257925" y="76200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304800</xdr:colOff>
      <xdr:row>6</xdr:row>
      <xdr:rowOff>47625</xdr:rowOff>
    </xdr:from>
    <xdr:to>
      <xdr:col>3</xdr:col>
      <xdr:colOff>381000</xdr:colOff>
      <xdr:row>7</xdr:row>
      <xdr:rowOff>104775</xdr:rowOff>
    </xdr:to>
    <xdr:sp macro="" textlink="">
      <xdr:nvSpPr>
        <xdr:cNvPr id="669495" name="Text Box 108">
          <a:extLst>
            <a:ext uri="{FF2B5EF4-FFF2-40B4-BE49-F238E27FC236}">
              <a16:creationId xmlns="" xmlns:a16="http://schemas.microsoft.com/office/drawing/2014/main" id="{00000000-0008-0000-0000-000037370A00}"/>
            </a:ext>
          </a:extLst>
        </xdr:cNvPr>
        <xdr:cNvSpPr txBox="1">
          <a:spLocks noChangeArrowheads="1"/>
        </xdr:cNvSpPr>
      </xdr:nvSpPr>
      <xdr:spPr bwMode="auto">
        <a:xfrm>
          <a:off x="1476375" y="9715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96" name="Text Box 212">
          <a:extLst>
            <a:ext uri="{FF2B5EF4-FFF2-40B4-BE49-F238E27FC236}">
              <a16:creationId xmlns="" xmlns:a16="http://schemas.microsoft.com/office/drawing/2014/main" id="{00000000-0008-0000-0000-000038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497" name="Text Box 213">
          <a:extLst>
            <a:ext uri="{FF2B5EF4-FFF2-40B4-BE49-F238E27FC236}">
              <a16:creationId xmlns="" xmlns:a16="http://schemas.microsoft.com/office/drawing/2014/main" id="{00000000-0008-0000-0000-000039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498" name="Text Box 214">
          <a:extLst>
            <a:ext uri="{FF2B5EF4-FFF2-40B4-BE49-F238E27FC236}">
              <a16:creationId xmlns="" xmlns:a16="http://schemas.microsoft.com/office/drawing/2014/main" id="{00000000-0008-0000-0000-00003A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499" name="Text Box 215">
          <a:extLst>
            <a:ext uri="{FF2B5EF4-FFF2-40B4-BE49-F238E27FC236}">
              <a16:creationId xmlns="" xmlns:a16="http://schemas.microsoft.com/office/drawing/2014/main" id="{00000000-0008-0000-0000-00003B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00" name="Text Box 216">
          <a:extLst>
            <a:ext uri="{FF2B5EF4-FFF2-40B4-BE49-F238E27FC236}">
              <a16:creationId xmlns="" xmlns:a16="http://schemas.microsoft.com/office/drawing/2014/main" id="{00000000-0008-0000-0000-00003C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01" name="Text Box 217">
          <a:extLst>
            <a:ext uri="{FF2B5EF4-FFF2-40B4-BE49-F238E27FC236}">
              <a16:creationId xmlns="" xmlns:a16="http://schemas.microsoft.com/office/drawing/2014/main" id="{00000000-0008-0000-0000-00003D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02" name="Text Box 218">
          <a:extLst>
            <a:ext uri="{FF2B5EF4-FFF2-40B4-BE49-F238E27FC236}">
              <a16:creationId xmlns="" xmlns:a16="http://schemas.microsoft.com/office/drawing/2014/main" id="{00000000-0008-0000-0000-00003E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03" name="Text Box 219">
          <a:extLst>
            <a:ext uri="{FF2B5EF4-FFF2-40B4-BE49-F238E27FC236}">
              <a16:creationId xmlns="" xmlns:a16="http://schemas.microsoft.com/office/drawing/2014/main" id="{00000000-0008-0000-0000-00003F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04" name="Text Box 220">
          <a:extLst>
            <a:ext uri="{FF2B5EF4-FFF2-40B4-BE49-F238E27FC236}">
              <a16:creationId xmlns="" xmlns:a16="http://schemas.microsoft.com/office/drawing/2014/main" id="{00000000-0008-0000-0000-000040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05" name="Text Box 221">
          <a:extLst>
            <a:ext uri="{FF2B5EF4-FFF2-40B4-BE49-F238E27FC236}">
              <a16:creationId xmlns="" xmlns:a16="http://schemas.microsoft.com/office/drawing/2014/main" id="{00000000-0008-0000-0000-000041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06" name="Text Box 222">
          <a:extLst>
            <a:ext uri="{FF2B5EF4-FFF2-40B4-BE49-F238E27FC236}">
              <a16:creationId xmlns="" xmlns:a16="http://schemas.microsoft.com/office/drawing/2014/main" id="{00000000-0008-0000-0000-000042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07" name="Text Box 223">
          <a:extLst>
            <a:ext uri="{FF2B5EF4-FFF2-40B4-BE49-F238E27FC236}">
              <a16:creationId xmlns="" xmlns:a16="http://schemas.microsoft.com/office/drawing/2014/main" id="{00000000-0008-0000-0000-000043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08" name="Text Box 224">
          <a:extLst>
            <a:ext uri="{FF2B5EF4-FFF2-40B4-BE49-F238E27FC236}">
              <a16:creationId xmlns="" xmlns:a16="http://schemas.microsoft.com/office/drawing/2014/main" id="{00000000-0008-0000-0000-000044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09" name="Text Box 225">
          <a:extLst>
            <a:ext uri="{FF2B5EF4-FFF2-40B4-BE49-F238E27FC236}">
              <a16:creationId xmlns="" xmlns:a16="http://schemas.microsoft.com/office/drawing/2014/main" id="{00000000-0008-0000-0000-000045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10" name="Text Box 226">
          <a:extLst>
            <a:ext uri="{FF2B5EF4-FFF2-40B4-BE49-F238E27FC236}">
              <a16:creationId xmlns="" xmlns:a16="http://schemas.microsoft.com/office/drawing/2014/main" id="{00000000-0008-0000-0000-000046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11" name="Text Box 227">
          <a:extLst>
            <a:ext uri="{FF2B5EF4-FFF2-40B4-BE49-F238E27FC236}">
              <a16:creationId xmlns="" xmlns:a16="http://schemas.microsoft.com/office/drawing/2014/main" id="{00000000-0008-0000-0000-000047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12" name="Text Box 228">
          <a:extLst>
            <a:ext uri="{FF2B5EF4-FFF2-40B4-BE49-F238E27FC236}">
              <a16:creationId xmlns="" xmlns:a16="http://schemas.microsoft.com/office/drawing/2014/main" id="{00000000-0008-0000-0000-000048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13" name="Text Box 229">
          <a:extLst>
            <a:ext uri="{FF2B5EF4-FFF2-40B4-BE49-F238E27FC236}">
              <a16:creationId xmlns="" xmlns:a16="http://schemas.microsoft.com/office/drawing/2014/main" id="{00000000-0008-0000-0000-000049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14" name="Text Box 230">
          <a:extLst>
            <a:ext uri="{FF2B5EF4-FFF2-40B4-BE49-F238E27FC236}">
              <a16:creationId xmlns="" xmlns:a16="http://schemas.microsoft.com/office/drawing/2014/main" id="{00000000-0008-0000-0000-00004A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15" name="Text Box 231">
          <a:extLst>
            <a:ext uri="{FF2B5EF4-FFF2-40B4-BE49-F238E27FC236}">
              <a16:creationId xmlns="" xmlns:a16="http://schemas.microsoft.com/office/drawing/2014/main" id="{00000000-0008-0000-0000-00004B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16" name="Text Box 232">
          <a:extLst>
            <a:ext uri="{FF2B5EF4-FFF2-40B4-BE49-F238E27FC236}">
              <a16:creationId xmlns="" xmlns:a16="http://schemas.microsoft.com/office/drawing/2014/main" id="{00000000-0008-0000-0000-00004C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17" name="Text Box 233">
          <a:extLst>
            <a:ext uri="{FF2B5EF4-FFF2-40B4-BE49-F238E27FC236}">
              <a16:creationId xmlns="" xmlns:a16="http://schemas.microsoft.com/office/drawing/2014/main" id="{00000000-0008-0000-0000-00004D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18" name="Text Box 234">
          <a:extLst>
            <a:ext uri="{FF2B5EF4-FFF2-40B4-BE49-F238E27FC236}">
              <a16:creationId xmlns="" xmlns:a16="http://schemas.microsoft.com/office/drawing/2014/main" id="{00000000-0008-0000-0000-00004E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19" name="Text Box 235">
          <a:extLst>
            <a:ext uri="{FF2B5EF4-FFF2-40B4-BE49-F238E27FC236}">
              <a16:creationId xmlns="" xmlns:a16="http://schemas.microsoft.com/office/drawing/2014/main" id="{00000000-0008-0000-0000-00004F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20" name="Text Box 236">
          <a:extLst>
            <a:ext uri="{FF2B5EF4-FFF2-40B4-BE49-F238E27FC236}">
              <a16:creationId xmlns="" xmlns:a16="http://schemas.microsoft.com/office/drawing/2014/main" id="{00000000-0008-0000-0000-000050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21" name="Text Box 237">
          <a:extLst>
            <a:ext uri="{FF2B5EF4-FFF2-40B4-BE49-F238E27FC236}">
              <a16:creationId xmlns="" xmlns:a16="http://schemas.microsoft.com/office/drawing/2014/main" id="{00000000-0008-0000-0000-000051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22" name="Text Box 238">
          <a:extLst>
            <a:ext uri="{FF2B5EF4-FFF2-40B4-BE49-F238E27FC236}">
              <a16:creationId xmlns="" xmlns:a16="http://schemas.microsoft.com/office/drawing/2014/main" id="{00000000-0008-0000-0000-000052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23" name="Text Box 239">
          <a:extLst>
            <a:ext uri="{FF2B5EF4-FFF2-40B4-BE49-F238E27FC236}">
              <a16:creationId xmlns="" xmlns:a16="http://schemas.microsoft.com/office/drawing/2014/main" id="{00000000-0008-0000-0000-000053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24" name="Text Box 240">
          <a:extLst>
            <a:ext uri="{FF2B5EF4-FFF2-40B4-BE49-F238E27FC236}">
              <a16:creationId xmlns="" xmlns:a16="http://schemas.microsoft.com/office/drawing/2014/main" id="{00000000-0008-0000-0000-000054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25" name="Text Box 241">
          <a:extLst>
            <a:ext uri="{FF2B5EF4-FFF2-40B4-BE49-F238E27FC236}">
              <a16:creationId xmlns="" xmlns:a16="http://schemas.microsoft.com/office/drawing/2014/main" id="{00000000-0008-0000-0000-000055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26" name="Text Box 242">
          <a:extLst>
            <a:ext uri="{FF2B5EF4-FFF2-40B4-BE49-F238E27FC236}">
              <a16:creationId xmlns="" xmlns:a16="http://schemas.microsoft.com/office/drawing/2014/main" id="{00000000-0008-0000-0000-000056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27" name="Text Box 243">
          <a:extLst>
            <a:ext uri="{FF2B5EF4-FFF2-40B4-BE49-F238E27FC236}">
              <a16:creationId xmlns="" xmlns:a16="http://schemas.microsoft.com/office/drawing/2014/main" id="{00000000-0008-0000-0000-000057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28" name="Text Box 244">
          <a:extLst>
            <a:ext uri="{FF2B5EF4-FFF2-40B4-BE49-F238E27FC236}">
              <a16:creationId xmlns="" xmlns:a16="http://schemas.microsoft.com/office/drawing/2014/main" id="{00000000-0008-0000-0000-000058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29" name="Text Box 245">
          <a:extLst>
            <a:ext uri="{FF2B5EF4-FFF2-40B4-BE49-F238E27FC236}">
              <a16:creationId xmlns="" xmlns:a16="http://schemas.microsoft.com/office/drawing/2014/main" id="{00000000-0008-0000-0000-000059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30" name="Text Box 246">
          <a:extLst>
            <a:ext uri="{FF2B5EF4-FFF2-40B4-BE49-F238E27FC236}">
              <a16:creationId xmlns="" xmlns:a16="http://schemas.microsoft.com/office/drawing/2014/main" id="{00000000-0008-0000-0000-00005A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31" name="Text Box 247">
          <a:extLst>
            <a:ext uri="{FF2B5EF4-FFF2-40B4-BE49-F238E27FC236}">
              <a16:creationId xmlns="" xmlns:a16="http://schemas.microsoft.com/office/drawing/2014/main" id="{00000000-0008-0000-0000-00005B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32" name="Text Box 248">
          <a:extLst>
            <a:ext uri="{FF2B5EF4-FFF2-40B4-BE49-F238E27FC236}">
              <a16:creationId xmlns="" xmlns:a16="http://schemas.microsoft.com/office/drawing/2014/main" id="{00000000-0008-0000-0000-00005C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33" name="Text Box 249">
          <a:extLst>
            <a:ext uri="{FF2B5EF4-FFF2-40B4-BE49-F238E27FC236}">
              <a16:creationId xmlns="" xmlns:a16="http://schemas.microsoft.com/office/drawing/2014/main" id="{00000000-0008-0000-0000-00005D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34" name="Text Box 250">
          <a:extLst>
            <a:ext uri="{FF2B5EF4-FFF2-40B4-BE49-F238E27FC236}">
              <a16:creationId xmlns="" xmlns:a16="http://schemas.microsoft.com/office/drawing/2014/main" id="{00000000-0008-0000-0000-00005E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35" name="Text Box 251">
          <a:extLst>
            <a:ext uri="{FF2B5EF4-FFF2-40B4-BE49-F238E27FC236}">
              <a16:creationId xmlns="" xmlns:a16="http://schemas.microsoft.com/office/drawing/2014/main" id="{00000000-0008-0000-0000-00005F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36" name="Text Box 252">
          <a:extLst>
            <a:ext uri="{FF2B5EF4-FFF2-40B4-BE49-F238E27FC236}">
              <a16:creationId xmlns="" xmlns:a16="http://schemas.microsoft.com/office/drawing/2014/main" id="{00000000-0008-0000-0000-000060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37" name="Text Box 253">
          <a:extLst>
            <a:ext uri="{FF2B5EF4-FFF2-40B4-BE49-F238E27FC236}">
              <a16:creationId xmlns="" xmlns:a16="http://schemas.microsoft.com/office/drawing/2014/main" id="{00000000-0008-0000-0000-000061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38" name="Text Box 254">
          <a:extLst>
            <a:ext uri="{FF2B5EF4-FFF2-40B4-BE49-F238E27FC236}">
              <a16:creationId xmlns="" xmlns:a16="http://schemas.microsoft.com/office/drawing/2014/main" id="{00000000-0008-0000-0000-000062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39" name="Text Box 255">
          <a:extLst>
            <a:ext uri="{FF2B5EF4-FFF2-40B4-BE49-F238E27FC236}">
              <a16:creationId xmlns="" xmlns:a16="http://schemas.microsoft.com/office/drawing/2014/main" id="{00000000-0008-0000-0000-000063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40" name="Text Box 256">
          <a:extLst>
            <a:ext uri="{FF2B5EF4-FFF2-40B4-BE49-F238E27FC236}">
              <a16:creationId xmlns="" xmlns:a16="http://schemas.microsoft.com/office/drawing/2014/main" id="{00000000-0008-0000-0000-000064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41" name="Text Box 257">
          <a:extLst>
            <a:ext uri="{FF2B5EF4-FFF2-40B4-BE49-F238E27FC236}">
              <a16:creationId xmlns="" xmlns:a16="http://schemas.microsoft.com/office/drawing/2014/main" id="{00000000-0008-0000-0000-000065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42" name="Text Box 258">
          <a:extLst>
            <a:ext uri="{FF2B5EF4-FFF2-40B4-BE49-F238E27FC236}">
              <a16:creationId xmlns="" xmlns:a16="http://schemas.microsoft.com/office/drawing/2014/main" id="{00000000-0008-0000-0000-000066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43" name="Text Box 259">
          <a:extLst>
            <a:ext uri="{FF2B5EF4-FFF2-40B4-BE49-F238E27FC236}">
              <a16:creationId xmlns="" xmlns:a16="http://schemas.microsoft.com/office/drawing/2014/main" id="{00000000-0008-0000-0000-000067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44" name="Text Box 260">
          <a:extLst>
            <a:ext uri="{FF2B5EF4-FFF2-40B4-BE49-F238E27FC236}">
              <a16:creationId xmlns="" xmlns:a16="http://schemas.microsoft.com/office/drawing/2014/main" id="{00000000-0008-0000-0000-000068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45" name="Text Box 261">
          <a:extLst>
            <a:ext uri="{FF2B5EF4-FFF2-40B4-BE49-F238E27FC236}">
              <a16:creationId xmlns="" xmlns:a16="http://schemas.microsoft.com/office/drawing/2014/main" id="{00000000-0008-0000-0000-000069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46" name="Text Box 262">
          <a:extLst>
            <a:ext uri="{FF2B5EF4-FFF2-40B4-BE49-F238E27FC236}">
              <a16:creationId xmlns="" xmlns:a16="http://schemas.microsoft.com/office/drawing/2014/main" id="{00000000-0008-0000-0000-00006A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47" name="Text Box 263">
          <a:extLst>
            <a:ext uri="{FF2B5EF4-FFF2-40B4-BE49-F238E27FC236}">
              <a16:creationId xmlns="" xmlns:a16="http://schemas.microsoft.com/office/drawing/2014/main" id="{00000000-0008-0000-0000-00006B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48" name="Text Box 264">
          <a:extLst>
            <a:ext uri="{FF2B5EF4-FFF2-40B4-BE49-F238E27FC236}">
              <a16:creationId xmlns="" xmlns:a16="http://schemas.microsoft.com/office/drawing/2014/main" id="{00000000-0008-0000-0000-00006C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49" name="Text Box 265">
          <a:extLst>
            <a:ext uri="{FF2B5EF4-FFF2-40B4-BE49-F238E27FC236}">
              <a16:creationId xmlns="" xmlns:a16="http://schemas.microsoft.com/office/drawing/2014/main" id="{00000000-0008-0000-0000-00006D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50" name="Text Box 266">
          <a:extLst>
            <a:ext uri="{FF2B5EF4-FFF2-40B4-BE49-F238E27FC236}">
              <a16:creationId xmlns="" xmlns:a16="http://schemas.microsoft.com/office/drawing/2014/main" id="{00000000-0008-0000-0000-00006E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51" name="Text Box 267">
          <a:extLst>
            <a:ext uri="{FF2B5EF4-FFF2-40B4-BE49-F238E27FC236}">
              <a16:creationId xmlns="" xmlns:a16="http://schemas.microsoft.com/office/drawing/2014/main" id="{00000000-0008-0000-0000-00006F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52" name="Text Box 268">
          <a:extLst>
            <a:ext uri="{FF2B5EF4-FFF2-40B4-BE49-F238E27FC236}">
              <a16:creationId xmlns="" xmlns:a16="http://schemas.microsoft.com/office/drawing/2014/main" id="{00000000-0008-0000-0000-000070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53" name="Text Box 269">
          <a:extLst>
            <a:ext uri="{FF2B5EF4-FFF2-40B4-BE49-F238E27FC236}">
              <a16:creationId xmlns="" xmlns:a16="http://schemas.microsoft.com/office/drawing/2014/main" id="{00000000-0008-0000-0000-000071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54" name="Text Box 270">
          <a:extLst>
            <a:ext uri="{FF2B5EF4-FFF2-40B4-BE49-F238E27FC236}">
              <a16:creationId xmlns="" xmlns:a16="http://schemas.microsoft.com/office/drawing/2014/main" id="{00000000-0008-0000-0000-000072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55" name="Text Box 271">
          <a:extLst>
            <a:ext uri="{FF2B5EF4-FFF2-40B4-BE49-F238E27FC236}">
              <a16:creationId xmlns="" xmlns:a16="http://schemas.microsoft.com/office/drawing/2014/main" id="{00000000-0008-0000-0000-000073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56" name="Text Box 272">
          <a:extLst>
            <a:ext uri="{FF2B5EF4-FFF2-40B4-BE49-F238E27FC236}">
              <a16:creationId xmlns="" xmlns:a16="http://schemas.microsoft.com/office/drawing/2014/main" id="{00000000-0008-0000-0000-000074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57" name="Text Box 273">
          <a:extLst>
            <a:ext uri="{FF2B5EF4-FFF2-40B4-BE49-F238E27FC236}">
              <a16:creationId xmlns="" xmlns:a16="http://schemas.microsoft.com/office/drawing/2014/main" id="{00000000-0008-0000-0000-000075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58" name="Text Box 274">
          <a:extLst>
            <a:ext uri="{FF2B5EF4-FFF2-40B4-BE49-F238E27FC236}">
              <a16:creationId xmlns="" xmlns:a16="http://schemas.microsoft.com/office/drawing/2014/main" id="{00000000-0008-0000-0000-000076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59" name="Text Box 275">
          <a:extLst>
            <a:ext uri="{FF2B5EF4-FFF2-40B4-BE49-F238E27FC236}">
              <a16:creationId xmlns="" xmlns:a16="http://schemas.microsoft.com/office/drawing/2014/main" id="{00000000-0008-0000-0000-000077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60" name="Text Box 276">
          <a:extLst>
            <a:ext uri="{FF2B5EF4-FFF2-40B4-BE49-F238E27FC236}">
              <a16:creationId xmlns="" xmlns:a16="http://schemas.microsoft.com/office/drawing/2014/main" id="{00000000-0008-0000-0000-000078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61" name="Text Box 277">
          <a:extLst>
            <a:ext uri="{FF2B5EF4-FFF2-40B4-BE49-F238E27FC236}">
              <a16:creationId xmlns="" xmlns:a16="http://schemas.microsoft.com/office/drawing/2014/main" id="{00000000-0008-0000-0000-000079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62" name="Text Box 278">
          <a:extLst>
            <a:ext uri="{FF2B5EF4-FFF2-40B4-BE49-F238E27FC236}">
              <a16:creationId xmlns="" xmlns:a16="http://schemas.microsoft.com/office/drawing/2014/main" id="{00000000-0008-0000-0000-00007A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63" name="Text Box 280">
          <a:extLst>
            <a:ext uri="{FF2B5EF4-FFF2-40B4-BE49-F238E27FC236}">
              <a16:creationId xmlns="" xmlns:a16="http://schemas.microsoft.com/office/drawing/2014/main" id="{00000000-0008-0000-0000-00007B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64" name="Text Box 282">
          <a:extLst>
            <a:ext uri="{FF2B5EF4-FFF2-40B4-BE49-F238E27FC236}">
              <a16:creationId xmlns="" xmlns:a16="http://schemas.microsoft.com/office/drawing/2014/main" id="{00000000-0008-0000-0000-00007C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65" name="Text Box 283">
          <a:extLst>
            <a:ext uri="{FF2B5EF4-FFF2-40B4-BE49-F238E27FC236}">
              <a16:creationId xmlns="" xmlns:a16="http://schemas.microsoft.com/office/drawing/2014/main" id="{00000000-0008-0000-0000-00007D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66" name="Text Box 285">
          <a:extLst>
            <a:ext uri="{FF2B5EF4-FFF2-40B4-BE49-F238E27FC236}">
              <a16:creationId xmlns="" xmlns:a16="http://schemas.microsoft.com/office/drawing/2014/main" id="{00000000-0008-0000-0000-00007E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67" name="Text Box 287">
          <a:extLst>
            <a:ext uri="{FF2B5EF4-FFF2-40B4-BE49-F238E27FC236}">
              <a16:creationId xmlns="" xmlns:a16="http://schemas.microsoft.com/office/drawing/2014/main" id="{00000000-0008-0000-0000-00007F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68" name="Text Box 288">
          <a:extLst>
            <a:ext uri="{FF2B5EF4-FFF2-40B4-BE49-F238E27FC236}">
              <a16:creationId xmlns="" xmlns:a16="http://schemas.microsoft.com/office/drawing/2014/main" id="{00000000-0008-0000-0000-000080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69" name="Text Box 289">
          <a:extLst>
            <a:ext uri="{FF2B5EF4-FFF2-40B4-BE49-F238E27FC236}">
              <a16:creationId xmlns="" xmlns:a16="http://schemas.microsoft.com/office/drawing/2014/main" id="{00000000-0008-0000-0000-000081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70" name="Text Box 290">
          <a:extLst>
            <a:ext uri="{FF2B5EF4-FFF2-40B4-BE49-F238E27FC236}">
              <a16:creationId xmlns="" xmlns:a16="http://schemas.microsoft.com/office/drawing/2014/main" id="{00000000-0008-0000-0000-000082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71" name="Text Box 291">
          <a:extLst>
            <a:ext uri="{FF2B5EF4-FFF2-40B4-BE49-F238E27FC236}">
              <a16:creationId xmlns="" xmlns:a16="http://schemas.microsoft.com/office/drawing/2014/main" id="{00000000-0008-0000-0000-000083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72" name="Text Box 292">
          <a:extLst>
            <a:ext uri="{FF2B5EF4-FFF2-40B4-BE49-F238E27FC236}">
              <a16:creationId xmlns="" xmlns:a16="http://schemas.microsoft.com/office/drawing/2014/main" id="{00000000-0008-0000-0000-000084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73" name="Text Box 293">
          <a:extLst>
            <a:ext uri="{FF2B5EF4-FFF2-40B4-BE49-F238E27FC236}">
              <a16:creationId xmlns="" xmlns:a16="http://schemas.microsoft.com/office/drawing/2014/main" id="{00000000-0008-0000-0000-000085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74" name="Text Box 212">
          <a:extLst>
            <a:ext uri="{FF2B5EF4-FFF2-40B4-BE49-F238E27FC236}">
              <a16:creationId xmlns="" xmlns:a16="http://schemas.microsoft.com/office/drawing/2014/main" id="{00000000-0008-0000-0000-000086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75" name="Text Box 213">
          <a:extLst>
            <a:ext uri="{FF2B5EF4-FFF2-40B4-BE49-F238E27FC236}">
              <a16:creationId xmlns="" xmlns:a16="http://schemas.microsoft.com/office/drawing/2014/main" id="{00000000-0008-0000-0000-000087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76" name="Text Box 214">
          <a:extLst>
            <a:ext uri="{FF2B5EF4-FFF2-40B4-BE49-F238E27FC236}">
              <a16:creationId xmlns="" xmlns:a16="http://schemas.microsoft.com/office/drawing/2014/main" id="{00000000-0008-0000-0000-000088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77" name="Text Box 215">
          <a:extLst>
            <a:ext uri="{FF2B5EF4-FFF2-40B4-BE49-F238E27FC236}">
              <a16:creationId xmlns="" xmlns:a16="http://schemas.microsoft.com/office/drawing/2014/main" id="{00000000-0008-0000-0000-000089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78" name="Text Box 216">
          <a:extLst>
            <a:ext uri="{FF2B5EF4-FFF2-40B4-BE49-F238E27FC236}">
              <a16:creationId xmlns="" xmlns:a16="http://schemas.microsoft.com/office/drawing/2014/main" id="{00000000-0008-0000-0000-00008A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79" name="Text Box 217">
          <a:extLst>
            <a:ext uri="{FF2B5EF4-FFF2-40B4-BE49-F238E27FC236}">
              <a16:creationId xmlns="" xmlns:a16="http://schemas.microsoft.com/office/drawing/2014/main" id="{00000000-0008-0000-0000-00008B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80" name="Text Box 218">
          <a:extLst>
            <a:ext uri="{FF2B5EF4-FFF2-40B4-BE49-F238E27FC236}">
              <a16:creationId xmlns="" xmlns:a16="http://schemas.microsoft.com/office/drawing/2014/main" id="{00000000-0008-0000-0000-00008C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81" name="Text Box 219">
          <a:extLst>
            <a:ext uri="{FF2B5EF4-FFF2-40B4-BE49-F238E27FC236}">
              <a16:creationId xmlns="" xmlns:a16="http://schemas.microsoft.com/office/drawing/2014/main" id="{00000000-0008-0000-0000-00008D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82" name="Text Box 220">
          <a:extLst>
            <a:ext uri="{FF2B5EF4-FFF2-40B4-BE49-F238E27FC236}">
              <a16:creationId xmlns="" xmlns:a16="http://schemas.microsoft.com/office/drawing/2014/main" id="{00000000-0008-0000-0000-00008E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83" name="Text Box 221">
          <a:extLst>
            <a:ext uri="{FF2B5EF4-FFF2-40B4-BE49-F238E27FC236}">
              <a16:creationId xmlns="" xmlns:a16="http://schemas.microsoft.com/office/drawing/2014/main" id="{00000000-0008-0000-0000-00008F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84" name="Text Box 222">
          <a:extLst>
            <a:ext uri="{FF2B5EF4-FFF2-40B4-BE49-F238E27FC236}">
              <a16:creationId xmlns="" xmlns:a16="http://schemas.microsoft.com/office/drawing/2014/main" id="{00000000-0008-0000-0000-000090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85" name="Text Box 223">
          <a:extLst>
            <a:ext uri="{FF2B5EF4-FFF2-40B4-BE49-F238E27FC236}">
              <a16:creationId xmlns="" xmlns:a16="http://schemas.microsoft.com/office/drawing/2014/main" id="{00000000-0008-0000-0000-000091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86" name="Text Box 224">
          <a:extLst>
            <a:ext uri="{FF2B5EF4-FFF2-40B4-BE49-F238E27FC236}">
              <a16:creationId xmlns="" xmlns:a16="http://schemas.microsoft.com/office/drawing/2014/main" id="{00000000-0008-0000-0000-000092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87" name="Text Box 225">
          <a:extLst>
            <a:ext uri="{FF2B5EF4-FFF2-40B4-BE49-F238E27FC236}">
              <a16:creationId xmlns="" xmlns:a16="http://schemas.microsoft.com/office/drawing/2014/main" id="{00000000-0008-0000-0000-000093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88" name="Text Box 226">
          <a:extLst>
            <a:ext uri="{FF2B5EF4-FFF2-40B4-BE49-F238E27FC236}">
              <a16:creationId xmlns="" xmlns:a16="http://schemas.microsoft.com/office/drawing/2014/main" id="{00000000-0008-0000-0000-000094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89" name="Text Box 227">
          <a:extLst>
            <a:ext uri="{FF2B5EF4-FFF2-40B4-BE49-F238E27FC236}">
              <a16:creationId xmlns="" xmlns:a16="http://schemas.microsoft.com/office/drawing/2014/main" id="{00000000-0008-0000-0000-000095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90" name="Text Box 228">
          <a:extLst>
            <a:ext uri="{FF2B5EF4-FFF2-40B4-BE49-F238E27FC236}">
              <a16:creationId xmlns="" xmlns:a16="http://schemas.microsoft.com/office/drawing/2014/main" id="{00000000-0008-0000-0000-000096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91" name="Text Box 229">
          <a:extLst>
            <a:ext uri="{FF2B5EF4-FFF2-40B4-BE49-F238E27FC236}">
              <a16:creationId xmlns="" xmlns:a16="http://schemas.microsoft.com/office/drawing/2014/main" id="{00000000-0008-0000-0000-000097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92" name="Text Box 230">
          <a:extLst>
            <a:ext uri="{FF2B5EF4-FFF2-40B4-BE49-F238E27FC236}">
              <a16:creationId xmlns="" xmlns:a16="http://schemas.microsoft.com/office/drawing/2014/main" id="{00000000-0008-0000-0000-000098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93" name="Text Box 231">
          <a:extLst>
            <a:ext uri="{FF2B5EF4-FFF2-40B4-BE49-F238E27FC236}">
              <a16:creationId xmlns="" xmlns:a16="http://schemas.microsoft.com/office/drawing/2014/main" id="{00000000-0008-0000-0000-000099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94" name="Text Box 232">
          <a:extLst>
            <a:ext uri="{FF2B5EF4-FFF2-40B4-BE49-F238E27FC236}">
              <a16:creationId xmlns="" xmlns:a16="http://schemas.microsoft.com/office/drawing/2014/main" id="{00000000-0008-0000-0000-00009A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95" name="Text Box 233">
          <a:extLst>
            <a:ext uri="{FF2B5EF4-FFF2-40B4-BE49-F238E27FC236}">
              <a16:creationId xmlns="" xmlns:a16="http://schemas.microsoft.com/office/drawing/2014/main" id="{00000000-0008-0000-0000-00009B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96" name="Text Box 234">
          <a:extLst>
            <a:ext uri="{FF2B5EF4-FFF2-40B4-BE49-F238E27FC236}">
              <a16:creationId xmlns="" xmlns:a16="http://schemas.microsoft.com/office/drawing/2014/main" id="{00000000-0008-0000-0000-00009C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97" name="Text Box 235">
          <a:extLst>
            <a:ext uri="{FF2B5EF4-FFF2-40B4-BE49-F238E27FC236}">
              <a16:creationId xmlns="" xmlns:a16="http://schemas.microsoft.com/office/drawing/2014/main" id="{00000000-0008-0000-0000-00009D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598" name="Text Box 236">
          <a:extLst>
            <a:ext uri="{FF2B5EF4-FFF2-40B4-BE49-F238E27FC236}">
              <a16:creationId xmlns="" xmlns:a16="http://schemas.microsoft.com/office/drawing/2014/main" id="{00000000-0008-0000-0000-00009E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599" name="Text Box 237">
          <a:extLst>
            <a:ext uri="{FF2B5EF4-FFF2-40B4-BE49-F238E27FC236}">
              <a16:creationId xmlns="" xmlns:a16="http://schemas.microsoft.com/office/drawing/2014/main" id="{00000000-0008-0000-0000-00009F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00" name="Text Box 238">
          <a:extLst>
            <a:ext uri="{FF2B5EF4-FFF2-40B4-BE49-F238E27FC236}">
              <a16:creationId xmlns="" xmlns:a16="http://schemas.microsoft.com/office/drawing/2014/main" id="{00000000-0008-0000-0000-0000A0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601" name="Text Box 239">
          <a:extLst>
            <a:ext uri="{FF2B5EF4-FFF2-40B4-BE49-F238E27FC236}">
              <a16:creationId xmlns="" xmlns:a16="http://schemas.microsoft.com/office/drawing/2014/main" id="{00000000-0008-0000-0000-0000A1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02" name="Text Box 240">
          <a:extLst>
            <a:ext uri="{FF2B5EF4-FFF2-40B4-BE49-F238E27FC236}">
              <a16:creationId xmlns="" xmlns:a16="http://schemas.microsoft.com/office/drawing/2014/main" id="{00000000-0008-0000-0000-0000A2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603" name="Text Box 241">
          <a:extLst>
            <a:ext uri="{FF2B5EF4-FFF2-40B4-BE49-F238E27FC236}">
              <a16:creationId xmlns="" xmlns:a16="http://schemas.microsoft.com/office/drawing/2014/main" id="{00000000-0008-0000-0000-0000A3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04" name="Text Box 242">
          <a:extLst>
            <a:ext uri="{FF2B5EF4-FFF2-40B4-BE49-F238E27FC236}">
              <a16:creationId xmlns="" xmlns:a16="http://schemas.microsoft.com/office/drawing/2014/main" id="{00000000-0008-0000-0000-0000A4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605" name="Text Box 243">
          <a:extLst>
            <a:ext uri="{FF2B5EF4-FFF2-40B4-BE49-F238E27FC236}">
              <a16:creationId xmlns="" xmlns:a16="http://schemas.microsoft.com/office/drawing/2014/main" id="{00000000-0008-0000-0000-0000A5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06" name="Text Box 244">
          <a:extLst>
            <a:ext uri="{FF2B5EF4-FFF2-40B4-BE49-F238E27FC236}">
              <a16:creationId xmlns="" xmlns:a16="http://schemas.microsoft.com/office/drawing/2014/main" id="{00000000-0008-0000-0000-0000A6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07" name="Text Box 245">
          <a:extLst>
            <a:ext uri="{FF2B5EF4-FFF2-40B4-BE49-F238E27FC236}">
              <a16:creationId xmlns="" xmlns:a16="http://schemas.microsoft.com/office/drawing/2014/main" id="{00000000-0008-0000-0000-0000A7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608" name="Text Box 246">
          <a:extLst>
            <a:ext uri="{FF2B5EF4-FFF2-40B4-BE49-F238E27FC236}">
              <a16:creationId xmlns="" xmlns:a16="http://schemas.microsoft.com/office/drawing/2014/main" id="{00000000-0008-0000-0000-0000A8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09" name="Text Box 247">
          <a:extLst>
            <a:ext uri="{FF2B5EF4-FFF2-40B4-BE49-F238E27FC236}">
              <a16:creationId xmlns="" xmlns:a16="http://schemas.microsoft.com/office/drawing/2014/main" id="{00000000-0008-0000-0000-0000A9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610" name="Text Box 248">
          <a:extLst>
            <a:ext uri="{FF2B5EF4-FFF2-40B4-BE49-F238E27FC236}">
              <a16:creationId xmlns="" xmlns:a16="http://schemas.microsoft.com/office/drawing/2014/main" id="{00000000-0008-0000-0000-0000AA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11" name="Text Box 249">
          <a:extLst>
            <a:ext uri="{FF2B5EF4-FFF2-40B4-BE49-F238E27FC236}">
              <a16:creationId xmlns="" xmlns:a16="http://schemas.microsoft.com/office/drawing/2014/main" id="{00000000-0008-0000-0000-0000AB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12" name="Text Box 250">
          <a:extLst>
            <a:ext uri="{FF2B5EF4-FFF2-40B4-BE49-F238E27FC236}">
              <a16:creationId xmlns="" xmlns:a16="http://schemas.microsoft.com/office/drawing/2014/main" id="{00000000-0008-0000-0000-0000AC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613" name="Text Box 251">
          <a:extLst>
            <a:ext uri="{FF2B5EF4-FFF2-40B4-BE49-F238E27FC236}">
              <a16:creationId xmlns="" xmlns:a16="http://schemas.microsoft.com/office/drawing/2014/main" id="{00000000-0008-0000-0000-0000AD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14" name="Text Box 252">
          <a:extLst>
            <a:ext uri="{FF2B5EF4-FFF2-40B4-BE49-F238E27FC236}">
              <a16:creationId xmlns="" xmlns:a16="http://schemas.microsoft.com/office/drawing/2014/main" id="{00000000-0008-0000-0000-0000AE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615" name="Text Box 253">
          <a:extLst>
            <a:ext uri="{FF2B5EF4-FFF2-40B4-BE49-F238E27FC236}">
              <a16:creationId xmlns="" xmlns:a16="http://schemas.microsoft.com/office/drawing/2014/main" id="{00000000-0008-0000-0000-0000AF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16" name="Text Box 254">
          <a:extLst>
            <a:ext uri="{FF2B5EF4-FFF2-40B4-BE49-F238E27FC236}">
              <a16:creationId xmlns="" xmlns:a16="http://schemas.microsoft.com/office/drawing/2014/main" id="{00000000-0008-0000-0000-0000B0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617" name="Text Box 255">
          <a:extLst>
            <a:ext uri="{FF2B5EF4-FFF2-40B4-BE49-F238E27FC236}">
              <a16:creationId xmlns="" xmlns:a16="http://schemas.microsoft.com/office/drawing/2014/main" id="{00000000-0008-0000-0000-0000B1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18" name="Text Box 256">
          <a:extLst>
            <a:ext uri="{FF2B5EF4-FFF2-40B4-BE49-F238E27FC236}">
              <a16:creationId xmlns="" xmlns:a16="http://schemas.microsoft.com/office/drawing/2014/main" id="{00000000-0008-0000-0000-0000B2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19" name="Text Box 257">
          <a:extLst>
            <a:ext uri="{FF2B5EF4-FFF2-40B4-BE49-F238E27FC236}">
              <a16:creationId xmlns="" xmlns:a16="http://schemas.microsoft.com/office/drawing/2014/main" id="{00000000-0008-0000-0000-0000B3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620" name="Text Box 258">
          <a:extLst>
            <a:ext uri="{FF2B5EF4-FFF2-40B4-BE49-F238E27FC236}">
              <a16:creationId xmlns="" xmlns:a16="http://schemas.microsoft.com/office/drawing/2014/main" id="{00000000-0008-0000-0000-0000B4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21" name="Text Box 259">
          <a:extLst>
            <a:ext uri="{FF2B5EF4-FFF2-40B4-BE49-F238E27FC236}">
              <a16:creationId xmlns="" xmlns:a16="http://schemas.microsoft.com/office/drawing/2014/main" id="{00000000-0008-0000-0000-0000B5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622" name="Text Box 260">
          <a:extLst>
            <a:ext uri="{FF2B5EF4-FFF2-40B4-BE49-F238E27FC236}">
              <a16:creationId xmlns="" xmlns:a16="http://schemas.microsoft.com/office/drawing/2014/main" id="{00000000-0008-0000-0000-0000B6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23" name="Text Box 261">
          <a:extLst>
            <a:ext uri="{FF2B5EF4-FFF2-40B4-BE49-F238E27FC236}">
              <a16:creationId xmlns="" xmlns:a16="http://schemas.microsoft.com/office/drawing/2014/main" id="{00000000-0008-0000-0000-0000B7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24" name="Text Box 262">
          <a:extLst>
            <a:ext uri="{FF2B5EF4-FFF2-40B4-BE49-F238E27FC236}">
              <a16:creationId xmlns="" xmlns:a16="http://schemas.microsoft.com/office/drawing/2014/main" id="{00000000-0008-0000-0000-0000B8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625" name="Text Box 263">
          <a:extLst>
            <a:ext uri="{FF2B5EF4-FFF2-40B4-BE49-F238E27FC236}">
              <a16:creationId xmlns="" xmlns:a16="http://schemas.microsoft.com/office/drawing/2014/main" id="{00000000-0008-0000-0000-0000B9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26" name="Text Box 264">
          <a:extLst>
            <a:ext uri="{FF2B5EF4-FFF2-40B4-BE49-F238E27FC236}">
              <a16:creationId xmlns="" xmlns:a16="http://schemas.microsoft.com/office/drawing/2014/main" id="{00000000-0008-0000-0000-0000BA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627" name="Text Box 265">
          <a:extLst>
            <a:ext uri="{FF2B5EF4-FFF2-40B4-BE49-F238E27FC236}">
              <a16:creationId xmlns="" xmlns:a16="http://schemas.microsoft.com/office/drawing/2014/main" id="{00000000-0008-0000-0000-0000BB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28" name="Text Box 266">
          <a:extLst>
            <a:ext uri="{FF2B5EF4-FFF2-40B4-BE49-F238E27FC236}">
              <a16:creationId xmlns="" xmlns:a16="http://schemas.microsoft.com/office/drawing/2014/main" id="{00000000-0008-0000-0000-0000BC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629" name="Text Box 267">
          <a:extLst>
            <a:ext uri="{FF2B5EF4-FFF2-40B4-BE49-F238E27FC236}">
              <a16:creationId xmlns="" xmlns:a16="http://schemas.microsoft.com/office/drawing/2014/main" id="{00000000-0008-0000-0000-0000BD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30" name="Text Box 268">
          <a:extLst>
            <a:ext uri="{FF2B5EF4-FFF2-40B4-BE49-F238E27FC236}">
              <a16:creationId xmlns="" xmlns:a16="http://schemas.microsoft.com/office/drawing/2014/main" id="{00000000-0008-0000-0000-0000BE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631" name="Text Box 269">
          <a:extLst>
            <a:ext uri="{FF2B5EF4-FFF2-40B4-BE49-F238E27FC236}">
              <a16:creationId xmlns="" xmlns:a16="http://schemas.microsoft.com/office/drawing/2014/main" id="{00000000-0008-0000-0000-0000BF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32" name="Text Box 270">
          <a:extLst>
            <a:ext uri="{FF2B5EF4-FFF2-40B4-BE49-F238E27FC236}">
              <a16:creationId xmlns="" xmlns:a16="http://schemas.microsoft.com/office/drawing/2014/main" id="{00000000-0008-0000-0000-0000C0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33" name="Text Box 271">
          <a:extLst>
            <a:ext uri="{FF2B5EF4-FFF2-40B4-BE49-F238E27FC236}">
              <a16:creationId xmlns="" xmlns:a16="http://schemas.microsoft.com/office/drawing/2014/main" id="{00000000-0008-0000-0000-0000C1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634" name="Text Box 272">
          <a:extLst>
            <a:ext uri="{FF2B5EF4-FFF2-40B4-BE49-F238E27FC236}">
              <a16:creationId xmlns="" xmlns:a16="http://schemas.microsoft.com/office/drawing/2014/main" id="{00000000-0008-0000-0000-0000C2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35" name="Text Box 273">
          <a:extLst>
            <a:ext uri="{FF2B5EF4-FFF2-40B4-BE49-F238E27FC236}">
              <a16:creationId xmlns="" xmlns:a16="http://schemas.microsoft.com/office/drawing/2014/main" id="{00000000-0008-0000-0000-0000C3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636" name="Text Box 274">
          <a:extLst>
            <a:ext uri="{FF2B5EF4-FFF2-40B4-BE49-F238E27FC236}">
              <a16:creationId xmlns="" xmlns:a16="http://schemas.microsoft.com/office/drawing/2014/main" id="{00000000-0008-0000-0000-0000C4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37" name="Text Box 275">
          <a:extLst>
            <a:ext uri="{FF2B5EF4-FFF2-40B4-BE49-F238E27FC236}">
              <a16:creationId xmlns="" xmlns:a16="http://schemas.microsoft.com/office/drawing/2014/main" id="{00000000-0008-0000-0000-0000C5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38" name="Text Box 276">
          <a:extLst>
            <a:ext uri="{FF2B5EF4-FFF2-40B4-BE49-F238E27FC236}">
              <a16:creationId xmlns="" xmlns:a16="http://schemas.microsoft.com/office/drawing/2014/main" id="{00000000-0008-0000-0000-0000C6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190500</xdr:colOff>
      <xdr:row>5</xdr:row>
      <xdr:rowOff>0</xdr:rowOff>
    </xdr:from>
    <xdr:to>
      <xdr:col>3</xdr:col>
      <xdr:colOff>266700</xdr:colOff>
      <xdr:row>6</xdr:row>
      <xdr:rowOff>57150</xdr:rowOff>
    </xdr:to>
    <xdr:sp macro="" textlink="">
      <xdr:nvSpPr>
        <xdr:cNvPr id="669639" name="Text Box 277">
          <a:extLst>
            <a:ext uri="{FF2B5EF4-FFF2-40B4-BE49-F238E27FC236}">
              <a16:creationId xmlns="" xmlns:a16="http://schemas.microsoft.com/office/drawing/2014/main" id="{00000000-0008-0000-0000-0000C7370A00}"/>
            </a:ext>
          </a:extLst>
        </xdr:cNvPr>
        <xdr:cNvSpPr txBox="1">
          <a:spLocks noChangeArrowheads="1"/>
        </xdr:cNvSpPr>
      </xdr:nvSpPr>
      <xdr:spPr bwMode="auto">
        <a:xfrm>
          <a:off x="1362075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40" name="Text Box 278">
          <a:extLst>
            <a:ext uri="{FF2B5EF4-FFF2-40B4-BE49-F238E27FC236}">
              <a16:creationId xmlns="" xmlns:a16="http://schemas.microsoft.com/office/drawing/2014/main" id="{00000000-0008-0000-0000-0000C8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41" name="Text Box 280">
          <a:extLst>
            <a:ext uri="{FF2B5EF4-FFF2-40B4-BE49-F238E27FC236}">
              <a16:creationId xmlns="" xmlns:a16="http://schemas.microsoft.com/office/drawing/2014/main" id="{00000000-0008-0000-0000-0000C9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42" name="Text Box 282">
          <a:extLst>
            <a:ext uri="{FF2B5EF4-FFF2-40B4-BE49-F238E27FC236}">
              <a16:creationId xmlns="" xmlns:a16="http://schemas.microsoft.com/office/drawing/2014/main" id="{00000000-0008-0000-0000-0000CA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43" name="Text Box 283">
          <a:extLst>
            <a:ext uri="{FF2B5EF4-FFF2-40B4-BE49-F238E27FC236}">
              <a16:creationId xmlns="" xmlns:a16="http://schemas.microsoft.com/office/drawing/2014/main" id="{00000000-0008-0000-0000-0000CB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44" name="Text Box 285">
          <a:extLst>
            <a:ext uri="{FF2B5EF4-FFF2-40B4-BE49-F238E27FC236}">
              <a16:creationId xmlns="" xmlns:a16="http://schemas.microsoft.com/office/drawing/2014/main" id="{00000000-0008-0000-0000-0000CC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45" name="Text Box 287">
          <a:extLst>
            <a:ext uri="{FF2B5EF4-FFF2-40B4-BE49-F238E27FC236}">
              <a16:creationId xmlns="" xmlns:a16="http://schemas.microsoft.com/office/drawing/2014/main" id="{00000000-0008-0000-0000-0000CD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46" name="Text Box 288">
          <a:extLst>
            <a:ext uri="{FF2B5EF4-FFF2-40B4-BE49-F238E27FC236}">
              <a16:creationId xmlns="" xmlns:a16="http://schemas.microsoft.com/office/drawing/2014/main" id="{00000000-0008-0000-0000-0000CE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47" name="Text Box 289">
          <a:extLst>
            <a:ext uri="{FF2B5EF4-FFF2-40B4-BE49-F238E27FC236}">
              <a16:creationId xmlns="" xmlns:a16="http://schemas.microsoft.com/office/drawing/2014/main" id="{00000000-0008-0000-0000-0000CF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48" name="Text Box 290">
          <a:extLst>
            <a:ext uri="{FF2B5EF4-FFF2-40B4-BE49-F238E27FC236}">
              <a16:creationId xmlns="" xmlns:a16="http://schemas.microsoft.com/office/drawing/2014/main" id="{00000000-0008-0000-0000-0000D0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49" name="Text Box 291">
          <a:extLst>
            <a:ext uri="{FF2B5EF4-FFF2-40B4-BE49-F238E27FC236}">
              <a16:creationId xmlns="" xmlns:a16="http://schemas.microsoft.com/office/drawing/2014/main" id="{00000000-0008-0000-0000-0000D1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50" name="Text Box 292">
          <a:extLst>
            <a:ext uri="{FF2B5EF4-FFF2-40B4-BE49-F238E27FC236}">
              <a16:creationId xmlns="" xmlns:a16="http://schemas.microsoft.com/office/drawing/2014/main" id="{00000000-0008-0000-0000-0000D2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161925</xdr:colOff>
      <xdr:row>5</xdr:row>
      <xdr:rowOff>0</xdr:rowOff>
    </xdr:from>
    <xdr:to>
      <xdr:col>3</xdr:col>
      <xdr:colOff>238125</xdr:colOff>
      <xdr:row>6</xdr:row>
      <xdr:rowOff>57150</xdr:rowOff>
    </xdr:to>
    <xdr:sp macro="" textlink="">
      <xdr:nvSpPr>
        <xdr:cNvPr id="669651" name="Text Box 293">
          <a:extLst>
            <a:ext uri="{FF2B5EF4-FFF2-40B4-BE49-F238E27FC236}">
              <a16:creationId xmlns="" xmlns:a16="http://schemas.microsoft.com/office/drawing/2014/main" id="{00000000-0008-0000-0000-0000D3370A00}"/>
            </a:ext>
          </a:extLst>
        </xdr:cNvPr>
        <xdr:cNvSpPr txBox="1">
          <a:spLocks noChangeArrowheads="1"/>
        </xdr:cNvSpPr>
      </xdr:nvSpPr>
      <xdr:spPr bwMode="auto">
        <a:xfrm>
          <a:off x="1333500" y="781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142876</xdr:colOff>
      <xdr:row>54</xdr:row>
      <xdr:rowOff>38100</xdr:rowOff>
    </xdr:from>
    <xdr:to>
      <xdr:col>7</xdr:col>
      <xdr:colOff>636646</xdr:colOff>
      <xdr:row>58</xdr:row>
      <xdr:rowOff>28575</xdr:rowOff>
    </xdr:to>
    <xdr:pic>
      <xdr:nvPicPr>
        <xdr:cNvPr id="662" name="Picture 661">
          <a:extLst>
            <a:ext uri="{FF2B5EF4-FFF2-40B4-BE49-F238E27FC236}">
              <a16:creationId xmlns="" xmlns:a16="http://schemas.microsoft.com/office/drawing/2014/main" id="{00000000-0008-0000-0000-00009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1" y="11449050"/>
          <a:ext cx="1150995" cy="638175"/>
        </a:xfrm>
        <a:prstGeom prst="rect">
          <a:avLst/>
        </a:prstGeom>
      </xdr:spPr>
    </xdr:pic>
    <xdr:clientData/>
  </xdr:twoCellAnchor>
  <xdr:twoCellAnchor editAs="oneCell">
    <xdr:from>
      <xdr:col>10</xdr:col>
      <xdr:colOff>342900</xdr:colOff>
      <xdr:row>53</xdr:row>
      <xdr:rowOff>76200</xdr:rowOff>
    </xdr:from>
    <xdr:to>
      <xdr:col>11</xdr:col>
      <xdr:colOff>685800</xdr:colOff>
      <xdr:row>58</xdr:row>
      <xdr:rowOff>29190</xdr:rowOff>
    </xdr:to>
    <xdr:pic>
      <xdr:nvPicPr>
        <xdr:cNvPr id="663" name="Picture 662">
          <a:extLst>
            <a:ext uri="{FF2B5EF4-FFF2-40B4-BE49-F238E27FC236}">
              <a16:creationId xmlns="" xmlns:a16="http://schemas.microsoft.com/office/drawing/2014/main" id="{00000000-0008-0000-0000-00009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1425" y="11525250"/>
          <a:ext cx="1247775" cy="724515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762000</xdr:colOff>
      <xdr:row>52</xdr:row>
      <xdr:rowOff>28575</xdr:rowOff>
    </xdr:from>
    <xdr:to>
      <xdr:col>9</xdr:col>
      <xdr:colOff>723900</xdr:colOff>
      <xdr:row>59</xdr:row>
      <xdr:rowOff>51435</xdr:rowOff>
    </xdr:to>
    <xdr:pic>
      <xdr:nvPicPr>
        <xdr:cNvPr id="664" name="Picture 663">
          <a:extLst>
            <a:ext uri="{FF2B5EF4-FFF2-40B4-BE49-F238E27FC236}">
              <a16:creationId xmlns="" xmlns:a16="http://schemas.microsoft.com/office/drawing/2014/main" id="{00000000-0008-0000-0000-00009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6950" y="11049000"/>
          <a:ext cx="914400" cy="1280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2"/>
  <sheetViews>
    <sheetView showGridLines="0" tabSelected="1" zoomScaleNormal="100" zoomScaleSheetLayoutView="75" workbookViewId="0">
      <selection activeCell="O12" sqref="O12"/>
    </sheetView>
  </sheetViews>
  <sheetFormatPr defaultColWidth="9.140625" defaultRowHeight="12.75"/>
  <cols>
    <col min="1" max="1" width="10.140625" style="22" customWidth="1"/>
    <col min="2" max="2" width="2.140625" style="4" customWidth="1"/>
    <col min="3" max="3" width="0.85546875" style="4" customWidth="1"/>
    <col min="4" max="4" width="10.42578125" style="4" customWidth="1"/>
    <col min="5" max="5" width="27.7109375" style="4" customWidth="1"/>
    <col min="6" max="6" width="18.5703125" style="4" customWidth="1"/>
    <col min="7" max="7" width="9.85546875" style="4" customWidth="1"/>
    <col min="8" max="8" width="13.5703125" style="4" customWidth="1"/>
    <col min="9" max="9" width="0.7109375" style="4" customWidth="1"/>
    <col min="10" max="10" width="11.140625" style="4" customWidth="1"/>
    <col min="11" max="11" width="13.5703125" style="4" bestFit="1" customWidth="1"/>
    <col min="12" max="12" width="14.85546875" style="4" customWidth="1"/>
    <col min="13" max="13" width="11.28515625" style="22" bestFit="1" customWidth="1"/>
    <col min="14" max="16384" width="9.140625" style="4"/>
  </cols>
  <sheetData>
    <row r="1" spans="1:13" ht="6" customHeight="1"/>
    <row r="2" spans="1:13" ht="16.5" customHeight="1">
      <c r="D2" s="128" t="s">
        <v>41</v>
      </c>
      <c r="E2" s="128"/>
      <c r="F2" s="13"/>
      <c r="G2" s="13"/>
      <c r="H2" s="13"/>
      <c r="I2" s="13"/>
      <c r="J2" s="128" t="s">
        <v>26</v>
      </c>
      <c r="K2" s="128"/>
      <c r="L2" s="128"/>
    </row>
    <row r="3" spans="1:13" ht="16.5" customHeight="1">
      <c r="D3" s="127" t="s">
        <v>40</v>
      </c>
      <c r="E3" s="127"/>
      <c r="F3" s="13"/>
      <c r="G3" s="13"/>
      <c r="H3" s="13"/>
      <c r="I3" s="13"/>
      <c r="J3" s="129" t="s">
        <v>27</v>
      </c>
      <c r="K3" s="129"/>
      <c r="L3" s="129"/>
    </row>
    <row r="4" spans="1:13" s="5" customFormat="1" ht="11.25" customHeight="1">
      <c r="A4" s="20"/>
      <c r="D4" s="14" t="s">
        <v>43</v>
      </c>
      <c r="E4" s="14"/>
      <c r="F4" s="14"/>
      <c r="G4" s="14"/>
      <c r="H4" s="14"/>
      <c r="I4" s="15"/>
      <c r="J4" s="130"/>
      <c r="K4" s="130"/>
      <c r="L4" s="130"/>
      <c r="M4" s="20"/>
    </row>
    <row r="5" spans="1:13" s="5" customFormat="1" ht="11.25" customHeight="1">
      <c r="A5" s="20"/>
      <c r="D5" s="14" t="s">
        <v>31</v>
      </c>
      <c r="E5" s="14"/>
      <c r="F5" s="14"/>
      <c r="G5" s="14"/>
      <c r="H5" s="14"/>
      <c r="I5" s="15"/>
      <c r="J5" s="16"/>
      <c r="K5" s="17"/>
      <c r="L5" s="18"/>
      <c r="M5" s="20"/>
    </row>
    <row r="6" spans="1:13" s="5" customFormat="1" ht="11.25" customHeight="1">
      <c r="A6" s="20"/>
      <c r="D6" s="14" t="s">
        <v>44</v>
      </c>
      <c r="E6" s="14"/>
      <c r="F6" s="14"/>
      <c r="G6" s="14"/>
      <c r="H6" s="14"/>
      <c r="I6" s="15"/>
      <c r="J6" s="15"/>
      <c r="K6" s="15"/>
      <c r="L6" s="19"/>
      <c r="M6" s="20"/>
    </row>
    <row r="7" spans="1:13" s="5" customFormat="1" ht="11.25" customHeight="1">
      <c r="A7" s="20"/>
      <c r="D7" s="14" t="s">
        <v>45</v>
      </c>
      <c r="E7" s="14"/>
      <c r="F7" s="14"/>
      <c r="G7" s="14"/>
      <c r="H7" s="14"/>
      <c r="I7" s="15"/>
      <c r="J7" s="15"/>
      <c r="K7" s="15"/>
      <c r="L7" s="19"/>
      <c r="M7" s="20"/>
    </row>
    <row r="8" spans="1:13" s="5" customFormat="1" ht="9.75" customHeight="1">
      <c r="A8" s="20"/>
      <c r="D8" s="14" t="s">
        <v>20</v>
      </c>
      <c r="E8" s="14"/>
      <c r="F8" s="14"/>
      <c r="G8" s="14"/>
      <c r="H8" s="14"/>
      <c r="I8" s="15"/>
      <c r="J8" s="131"/>
      <c r="K8" s="131"/>
      <c r="L8" s="131"/>
      <c r="M8" s="20"/>
    </row>
    <row r="9" spans="1:13" ht="12.75" customHeight="1">
      <c r="D9" s="21"/>
      <c r="E9" s="21"/>
      <c r="F9" s="21"/>
      <c r="G9" s="21"/>
      <c r="H9" s="21"/>
      <c r="I9" s="21"/>
      <c r="J9" s="21"/>
      <c r="K9" s="21"/>
      <c r="L9" s="21"/>
    </row>
    <row r="10" spans="1:13" s="6" customFormat="1" ht="17.100000000000001" customHeight="1">
      <c r="A10" s="110"/>
      <c r="D10" s="23" t="s">
        <v>2</v>
      </c>
      <c r="E10" s="132" t="s">
        <v>47</v>
      </c>
      <c r="F10" s="132"/>
      <c r="G10" s="132"/>
      <c r="H10" s="24"/>
      <c r="I10" s="25"/>
      <c r="J10" s="26" t="s">
        <v>0</v>
      </c>
      <c r="K10" s="126"/>
      <c r="L10" s="126"/>
      <c r="M10" s="27"/>
    </row>
    <row r="11" spans="1:13" ht="18.75" customHeight="1">
      <c r="D11" s="28" t="s">
        <v>30</v>
      </c>
      <c r="E11" s="133"/>
      <c r="F11" s="133"/>
      <c r="G11" s="133"/>
      <c r="H11" s="133"/>
      <c r="I11" s="13"/>
      <c r="J11" s="28" t="s">
        <v>1</v>
      </c>
      <c r="K11" s="29"/>
      <c r="L11" s="29"/>
    </row>
    <row r="12" spans="1:13" ht="18.75" customHeight="1">
      <c r="D12" s="23" t="s">
        <v>3</v>
      </c>
      <c r="E12" s="125"/>
      <c r="F12" s="125"/>
      <c r="G12" s="125"/>
      <c r="H12" s="125"/>
      <c r="I12" s="30"/>
      <c r="J12" s="26" t="s">
        <v>5</v>
      </c>
      <c r="K12" s="31"/>
      <c r="L12" s="31"/>
      <c r="M12" s="32"/>
    </row>
    <row r="13" spans="1:13" ht="22.5" customHeight="1">
      <c r="D13" s="28" t="s">
        <v>4</v>
      </c>
      <c r="E13" s="125"/>
      <c r="F13" s="125"/>
      <c r="G13" s="125"/>
      <c r="H13" s="125"/>
      <c r="I13" s="13"/>
      <c r="J13" s="28" t="s">
        <v>25</v>
      </c>
      <c r="K13" s="33"/>
      <c r="L13" s="33"/>
      <c r="M13" s="32"/>
    </row>
    <row r="14" spans="1:13" ht="18.75" customHeight="1">
      <c r="D14" s="28"/>
      <c r="E14" s="34"/>
      <c r="F14" s="35"/>
      <c r="G14" s="35"/>
      <c r="H14" s="36"/>
      <c r="I14" s="13"/>
      <c r="J14" s="37" t="s">
        <v>35</v>
      </c>
      <c r="K14" s="31"/>
      <c r="L14" s="31"/>
      <c r="M14" s="32"/>
    </row>
    <row r="15" spans="1:13" s="7" customFormat="1" ht="18.75" customHeight="1">
      <c r="A15" s="41"/>
      <c r="D15" s="38" t="s">
        <v>32</v>
      </c>
      <c r="E15" s="39" t="s">
        <v>46</v>
      </c>
      <c r="F15" s="40"/>
      <c r="G15" s="24"/>
      <c r="H15" s="24"/>
      <c r="I15" s="13"/>
      <c r="M15" s="41"/>
    </row>
    <row r="16" spans="1:13" ht="0.75" customHeight="1">
      <c r="D16" s="42"/>
      <c r="F16" s="24"/>
      <c r="G16" s="24"/>
      <c r="H16" s="24"/>
      <c r="I16" s="13"/>
      <c r="J16" s="21"/>
      <c r="K16" s="21"/>
      <c r="L16" s="21"/>
    </row>
    <row r="17" spans="1:13" s="8" customFormat="1" ht="30" customHeight="1">
      <c r="A17" s="111"/>
      <c r="D17" s="43" t="s">
        <v>28</v>
      </c>
      <c r="E17" s="44"/>
      <c r="F17" s="45"/>
      <c r="G17" s="46"/>
      <c r="H17" s="21"/>
      <c r="I17" s="21"/>
      <c r="J17" s="13"/>
      <c r="K17" s="13"/>
      <c r="L17" s="21"/>
      <c r="M17" s="22"/>
    </row>
    <row r="18" spans="1:13" ht="18.75" customHeight="1">
      <c r="D18" s="115" t="s">
        <v>5</v>
      </c>
      <c r="E18" s="153" t="s">
        <v>6</v>
      </c>
      <c r="F18" s="153"/>
      <c r="G18" s="153"/>
      <c r="H18" s="153"/>
      <c r="I18" s="154"/>
      <c r="J18" s="116" t="s">
        <v>7</v>
      </c>
      <c r="K18" s="117" t="s">
        <v>19</v>
      </c>
      <c r="L18" s="118" t="s">
        <v>8</v>
      </c>
    </row>
    <row r="19" spans="1:13" ht="18.75" customHeight="1">
      <c r="D19" s="119" t="s">
        <v>9</v>
      </c>
      <c r="E19" s="155" t="s">
        <v>10</v>
      </c>
      <c r="F19" s="155"/>
      <c r="G19" s="155"/>
      <c r="H19" s="155"/>
      <c r="I19" s="156"/>
      <c r="J19" s="120" t="s">
        <v>11</v>
      </c>
      <c r="K19" s="121" t="s">
        <v>12</v>
      </c>
      <c r="L19" s="122" t="s">
        <v>13</v>
      </c>
    </row>
    <row r="20" spans="1:13" ht="2.25" customHeight="1">
      <c r="D20" s="1"/>
      <c r="E20" s="2"/>
      <c r="F20" s="3" t="s">
        <v>33</v>
      </c>
      <c r="G20" s="2"/>
      <c r="H20" s="2"/>
      <c r="I20" s="2"/>
      <c r="J20" s="2"/>
      <c r="K20" s="2"/>
      <c r="L20" s="113"/>
    </row>
    <row r="21" spans="1:13" s="9" customFormat="1" ht="9" customHeight="1">
      <c r="A21" s="54"/>
      <c r="D21" s="47"/>
      <c r="E21" s="48"/>
      <c r="F21" s="49"/>
      <c r="G21" s="50"/>
      <c r="H21" s="50"/>
      <c r="I21" s="51"/>
      <c r="J21" s="50"/>
      <c r="K21" s="52"/>
      <c r="L21" s="53"/>
      <c r="M21" s="54"/>
    </row>
    <row r="22" spans="1:13" s="10" customFormat="1" ht="18.95" customHeight="1">
      <c r="A22" s="60"/>
      <c r="D22" s="90"/>
      <c r="E22" s="161"/>
      <c r="F22" s="162"/>
      <c r="G22" s="162"/>
      <c r="H22" s="162"/>
      <c r="I22" s="114"/>
      <c r="J22" s="57"/>
      <c r="K22" s="68"/>
      <c r="L22" s="91"/>
      <c r="M22" s="60"/>
    </row>
    <row r="23" spans="1:13" s="10" customFormat="1" ht="18.95" customHeight="1">
      <c r="A23" s="60"/>
      <c r="D23" s="55">
        <v>1</v>
      </c>
      <c r="E23" s="159"/>
      <c r="F23" s="160"/>
      <c r="G23" s="160"/>
      <c r="H23" s="160"/>
      <c r="I23" s="56"/>
      <c r="J23" s="57"/>
      <c r="K23" s="58"/>
      <c r="L23" s="59"/>
      <c r="M23" s="60"/>
    </row>
    <row r="24" spans="1:13" s="10" customFormat="1" ht="18.95" customHeight="1">
      <c r="A24" s="60"/>
      <c r="D24" s="55"/>
      <c r="E24" s="123"/>
      <c r="F24" s="124"/>
      <c r="G24" s="124"/>
      <c r="H24" s="124"/>
      <c r="I24" s="56"/>
      <c r="J24" s="57">
        <v>1</v>
      </c>
      <c r="K24" s="61">
        <v>0</v>
      </c>
      <c r="L24" s="59">
        <f>K24*J24</f>
        <v>0</v>
      </c>
      <c r="M24" s="62"/>
    </row>
    <row r="25" spans="1:13" s="10" customFormat="1" ht="18.95" customHeight="1">
      <c r="A25" s="60"/>
      <c r="D25" s="55"/>
      <c r="E25" s="123"/>
      <c r="F25" s="124"/>
      <c r="G25" s="124"/>
      <c r="H25" s="124"/>
      <c r="I25" s="56"/>
      <c r="J25" s="57"/>
      <c r="K25" s="63"/>
      <c r="L25" s="64"/>
      <c r="M25" s="60"/>
    </row>
    <row r="26" spans="1:13" s="10" customFormat="1" ht="18.95" customHeight="1">
      <c r="A26" s="60"/>
      <c r="D26" s="55"/>
      <c r="E26" s="123"/>
      <c r="F26" s="124"/>
      <c r="G26" s="124"/>
      <c r="H26" s="124"/>
      <c r="I26" s="56"/>
      <c r="J26" s="57"/>
      <c r="K26" s="61"/>
      <c r="L26" s="59"/>
      <c r="M26" s="60"/>
    </row>
    <row r="27" spans="1:13" s="11" customFormat="1" ht="18.75" customHeight="1">
      <c r="A27" s="65"/>
      <c r="D27" s="55"/>
      <c r="E27" s="123"/>
      <c r="F27" s="124"/>
      <c r="G27" s="124"/>
      <c r="H27" s="124"/>
      <c r="I27" s="56"/>
      <c r="J27" s="57"/>
      <c r="K27" s="61"/>
      <c r="L27" s="59"/>
      <c r="M27" s="65"/>
    </row>
    <row r="28" spans="1:13" s="11" customFormat="1" ht="18.75" customHeight="1">
      <c r="A28" s="65"/>
      <c r="D28" s="55"/>
      <c r="E28" s="123"/>
      <c r="F28" s="124"/>
      <c r="G28" s="124"/>
      <c r="H28" s="124"/>
      <c r="I28" s="56"/>
      <c r="J28" s="57"/>
      <c r="K28" s="61"/>
      <c r="L28" s="59"/>
      <c r="M28" s="65"/>
    </row>
    <row r="29" spans="1:13" s="11" customFormat="1" ht="18.75" customHeight="1">
      <c r="A29" s="65"/>
      <c r="D29" s="55"/>
      <c r="E29" s="123"/>
      <c r="F29" s="124"/>
      <c r="G29" s="124"/>
      <c r="H29" s="124"/>
      <c r="I29" s="56"/>
      <c r="J29" s="57"/>
      <c r="K29" s="61"/>
      <c r="L29" s="59"/>
      <c r="M29" s="65"/>
    </row>
    <row r="30" spans="1:13" s="11" customFormat="1" ht="18.75" customHeight="1">
      <c r="A30" s="65"/>
      <c r="D30" s="55"/>
      <c r="E30" s="123"/>
      <c r="F30" s="124"/>
      <c r="G30" s="124"/>
      <c r="H30" s="124"/>
      <c r="I30" s="66"/>
      <c r="J30" s="67"/>
      <c r="K30" s="68"/>
      <c r="L30" s="59"/>
      <c r="M30" s="65"/>
    </row>
    <row r="31" spans="1:13" s="11" customFormat="1" ht="18.75" customHeight="1">
      <c r="A31" s="65"/>
      <c r="D31" s="55"/>
      <c r="E31" s="123"/>
      <c r="F31" s="124"/>
      <c r="G31" s="124"/>
      <c r="H31" s="124"/>
      <c r="I31" s="69"/>
      <c r="J31" s="67"/>
      <c r="K31" s="68"/>
      <c r="L31" s="59"/>
      <c r="M31" s="65"/>
    </row>
    <row r="32" spans="1:13" s="11" customFormat="1" ht="18.75" customHeight="1">
      <c r="A32" s="65"/>
      <c r="D32" s="55"/>
      <c r="E32" s="123"/>
      <c r="F32" s="124"/>
      <c r="G32" s="124"/>
      <c r="H32" s="124"/>
      <c r="I32" s="69"/>
      <c r="J32" s="67"/>
      <c r="K32" s="68"/>
      <c r="L32" s="59"/>
      <c r="M32" s="65"/>
    </row>
    <row r="33" spans="1:13" s="11" customFormat="1" ht="18.75" customHeight="1">
      <c r="A33" s="65"/>
      <c r="D33" s="55"/>
      <c r="E33" s="123"/>
      <c r="F33" s="124"/>
      <c r="G33" s="124"/>
      <c r="H33" s="124"/>
      <c r="I33" s="69"/>
      <c r="J33" s="67"/>
      <c r="K33" s="68"/>
      <c r="L33" s="59"/>
      <c r="M33" s="65"/>
    </row>
    <row r="34" spans="1:13" s="11" customFormat="1" ht="18.75" customHeight="1">
      <c r="A34" s="65"/>
      <c r="D34" s="55"/>
      <c r="E34" s="123"/>
      <c r="F34" s="124"/>
      <c r="G34" s="124"/>
      <c r="H34" s="124"/>
      <c r="I34" s="69"/>
      <c r="J34" s="67"/>
      <c r="K34" s="68"/>
      <c r="L34" s="59"/>
      <c r="M34" s="65"/>
    </row>
    <row r="35" spans="1:13" s="11" customFormat="1" ht="18.75" customHeight="1">
      <c r="A35" s="65"/>
      <c r="D35" s="55"/>
      <c r="E35" s="123"/>
      <c r="F35" s="124"/>
      <c r="G35" s="124"/>
      <c r="H35" s="124"/>
      <c r="I35" s="69"/>
      <c r="J35" s="67"/>
      <c r="K35" s="68"/>
      <c r="L35" s="59"/>
      <c r="M35" s="65"/>
    </row>
    <row r="36" spans="1:13" s="11" customFormat="1" ht="18.75" customHeight="1">
      <c r="A36" s="65"/>
      <c r="D36" s="55"/>
      <c r="E36" s="123"/>
      <c r="F36" s="124"/>
      <c r="G36" s="124"/>
      <c r="H36" s="124"/>
      <c r="I36" s="69"/>
      <c r="J36" s="67"/>
      <c r="K36" s="68"/>
      <c r="L36" s="59"/>
      <c r="M36" s="65"/>
    </row>
    <row r="37" spans="1:13" s="11" customFormat="1" ht="18.75" customHeight="1">
      <c r="A37" s="65"/>
      <c r="D37" s="55"/>
      <c r="E37" s="123"/>
      <c r="F37" s="124"/>
      <c r="G37" s="124"/>
      <c r="H37" s="124"/>
      <c r="I37" s="69"/>
      <c r="J37" s="67"/>
      <c r="K37" s="68"/>
      <c r="L37" s="59"/>
      <c r="M37" s="65"/>
    </row>
    <row r="38" spans="1:13" s="11" customFormat="1" ht="18.75" customHeight="1">
      <c r="A38" s="65"/>
      <c r="D38" s="55"/>
      <c r="E38" s="123"/>
      <c r="F38" s="124"/>
      <c r="G38" s="124"/>
      <c r="H38" s="124"/>
      <c r="I38" s="69"/>
      <c r="J38" s="67"/>
      <c r="K38" s="68"/>
      <c r="L38" s="59"/>
      <c r="M38" s="65"/>
    </row>
    <row r="39" spans="1:13" s="11" customFormat="1" ht="18.75" customHeight="1">
      <c r="A39" s="65"/>
      <c r="D39" s="70"/>
      <c r="E39" s="123"/>
      <c r="F39" s="124"/>
      <c r="G39" s="124"/>
      <c r="H39" s="124"/>
      <c r="I39" s="69"/>
      <c r="J39" s="67"/>
      <c r="K39" s="68"/>
      <c r="L39" s="59"/>
      <c r="M39" s="65"/>
    </row>
    <row r="40" spans="1:13" s="11" customFormat="1" ht="18.75" customHeight="1">
      <c r="A40" s="65"/>
      <c r="D40" s="70"/>
      <c r="E40" s="123"/>
      <c r="F40" s="124"/>
      <c r="G40" s="124"/>
      <c r="H40" s="124"/>
      <c r="I40" s="69"/>
      <c r="J40" s="67"/>
      <c r="K40" s="68"/>
      <c r="L40" s="59"/>
      <c r="M40" s="65"/>
    </row>
    <row r="41" spans="1:13" s="11" customFormat="1" ht="18.75" customHeight="1">
      <c r="A41" s="65"/>
      <c r="D41" s="70"/>
      <c r="E41" s="123"/>
      <c r="F41" s="124"/>
      <c r="G41" s="124"/>
      <c r="H41" s="124"/>
      <c r="I41" s="69"/>
      <c r="J41" s="67"/>
      <c r="K41" s="68"/>
      <c r="L41" s="59"/>
      <c r="M41" s="65"/>
    </row>
    <row r="42" spans="1:13" s="11" customFormat="1" ht="18.75" customHeight="1">
      <c r="A42" s="65"/>
      <c r="D42" s="70"/>
      <c r="E42" s="123"/>
      <c r="F42" s="124"/>
      <c r="G42" s="124"/>
      <c r="H42" s="124"/>
      <c r="I42" s="69"/>
      <c r="J42" s="67"/>
      <c r="K42" s="68"/>
      <c r="L42" s="59"/>
      <c r="M42" s="65"/>
    </row>
    <row r="43" spans="1:13" s="11" customFormat="1" ht="18.75" customHeight="1">
      <c r="A43" s="65"/>
      <c r="D43" s="70"/>
      <c r="E43" s="123"/>
      <c r="F43" s="124"/>
      <c r="G43" s="124"/>
      <c r="H43" s="124"/>
      <c r="I43" s="69"/>
      <c r="J43" s="71"/>
      <c r="K43" s="72"/>
      <c r="L43" s="73"/>
      <c r="M43" s="65"/>
    </row>
    <row r="44" spans="1:13" s="11" customFormat="1" ht="18.75" customHeight="1">
      <c r="A44" s="65"/>
      <c r="D44" s="70"/>
      <c r="E44" s="123"/>
      <c r="F44" s="124"/>
      <c r="G44" s="124"/>
      <c r="H44" s="124"/>
      <c r="I44" s="69"/>
      <c r="J44" s="71"/>
      <c r="K44" s="72"/>
      <c r="L44" s="73"/>
      <c r="M44" s="65"/>
    </row>
    <row r="45" spans="1:13" s="11" customFormat="1" ht="18.600000000000001" customHeight="1">
      <c r="A45" s="65"/>
      <c r="D45" s="70"/>
      <c r="E45" s="123"/>
      <c r="F45" s="124"/>
      <c r="G45" s="124"/>
      <c r="H45" s="124"/>
      <c r="I45" s="69"/>
      <c r="J45" s="71"/>
      <c r="K45" s="72"/>
      <c r="L45" s="73"/>
      <c r="M45" s="65"/>
    </row>
    <row r="46" spans="1:13" ht="18.75" customHeight="1">
      <c r="D46" s="74" t="s">
        <v>34</v>
      </c>
      <c r="E46" s="75"/>
      <c r="F46" s="76"/>
      <c r="G46" s="75"/>
      <c r="H46" s="75"/>
      <c r="I46" s="77"/>
      <c r="J46" s="146" t="s">
        <v>21</v>
      </c>
      <c r="K46" s="147"/>
      <c r="L46" s="78">
        <f>SUM(L23:L45)</f>
        <v>0</v>
      </c>
      <c r="M46" s="79"/>
    </row>
    <row r="47" spans="1:13" ht="21.75" customHeight="1">
      <c r="D47" s="80"/>
      <c r="E47" s="81"/>
      <c r="F47" s="81"/>
      <c r="G47" s="81"/>
      <c r="H47" s="81"/>
      <c r="I47" s="82"/>
      <c r="J47" s="135"/>
      <c r="K47" s="136"/>
      <c r="L47" s="83"/>
    </row>
    <row r="48" spans="1:13" ht="17.100000000000001" customHeight="1">
      <c r="D48" s="80"/>
      <c r="E48" s="84" t="s">
        <v>42</v>
      </c>
      <c r="F48" s="81"/>
      <c r="G48" s="81"/>
      <c r="H48" s="81"/>
      <c r="I48" s="82"/>
      <c r="J48" s="137" t="s">
        <v>22</v>
      </c>
      <c r="K48" s="138"/>
      <c r="L48" s="85">
        <f>L46</f>
        <v>0</v>
      </c>
      <c r="M48" s="79"/>
    </row>
    <row r="49" spans="1:13" ht="20.25" customHeight="1">
      <c r="D49" s="86"/>
      <c r="E49" s="87" t="s">
        <v>39</v>
      </c>
      <c r="F49" s="87"/>
      <c r="G49" s="87"/>
      <c r="H49" s="87"/>
      <c r="I49" s="88"/>
      <c r="J49" s="139" t="s">
        <v>23</v>
      </c>
      <c r="K49" s="140"/>
      <c r="L49" s="89">
        <f>L48*7/100</f>
        <v>0</v>
      </c>
      <c r="M49" s="112"/>
    </row>
    <row r="50" spans="1:13" ht="23.25">
      <c r="D50" s="143" t="str">
        <f>BAHTTEXT(L50)</f>
        <v>ศูนย์บาทถ้วน</v>
      </c>
      <c r="E50" s="144"/>
      <c r="F50" s="144"/>
      <c r="G50" s="144"/>
      <c r="H50" s="144"/>
      <c r="I50" s="145"/>
      <c r="J50" s="151" t="s">
        <v>24</v>
      </c>
      <c r="K50" s="152"/>
      <c r="L50" s="92">
        <f>L48+L49</f>
        <v>0</v>
      </c>
      <c r="M50" s="32"/>
    </row>
    <row r="51" spans="1:13" ht="12" customHeight="1">
      <c r="D51" s="93"/>
      <c r="E51" s="93"/>
      <c r="F51" s="93"/>
      <c r="G51" s="93"/>
      <c r="H51" s="93"/>
      <c r="I51" s="93"/>
      <c r="J51" s="94"/>
      <c r="K51" s="94"/>
      <c r="L51" s="95"/>
    </row>
    <row r="52" spans="1:13" ht="2.25" customHeight="1">
      <c r="D52" s="93"/>
      <c r="E52" s="93"/>
      <c r="F52" s="93"/>
      <c r="G52" s="93"/>
      <c r="H52" s="93"/>
      <c r="I52" s="93"/>
      <c r="J52" s="94"/>
      <c r="K52" s="94"/>
      <c r="L52" s="95"/>
    </row>
    <row r="53" spans="1:13" s="12" customFormat="1" ht="21">
      <c r="A53" s="100"/>
      <c r="D53" s="96" t="s">
        <v>29</v>
      </c>
      <c r="E53" s="97"/>
      <c r="F53" s="97"/>
      <c r="G53" s="98" t="s">
        <v>37</v>
      </c>
      <c r="H53" s="97"/>
      <c r="I53" s="97"/>
      <c r="J53" s="97"/>
      <c r="K53" s="150" t="s">
        <v>14</v>
      </c>
      <c r="L53" s="150"/>
      <c r="M53" s="100"/>
    </row>
    <row r="54" spans="1:13" s="12" customFormat="1" ht="9.75" customHeight="1">
      <c r="A54" s="100"/>
      <c r="D54" s="131"/>
      <c r="E54" s="131"/>
      <c r="F54" s="131"/>
      <c r="G54" s="131"/>
      <c r="H54" s="131"/>
      <c r="I54" s="131"/>
      <c r="J54" s="131"/>
      <c r="K54" s="26" t="s">
        <v>15</v>
      </c>
      <c r="L54" s="99"/>
      <c r="M54" s="100"/>
    </row>
    <row r="55" spans="1:13" s="12" customFormat="1" ht="9" customHeight="1">
      <c r="A55" s="100"/>
      <c r="D55" s="100"/>
      <c r="E55" s="100"/>
      <c r="K55" s="149"/>
      <c r="L55" s="149"/>
      <c r="M55" s="100"/>
    </row>
    <row r="56" spans="1:13" s="12" customFormat="1" ht="10.5" customHeight="1">
      <c r="A56" s="100"/>
      <c r="D56" s="100"/>
      <c r="E56" s="101"/>
      <c r="M56" s="100"/>
    </row>
    <row r="57" spans="1:13" s="12" customFormat="1" ht="15.75" customHeight="1">
      <c r="A57" s="100"/>
      <c r="D57" s="100"/>
      <c r="E57" s="100"/>
      <c r="M57" s="100"/>
    </row>
    <row r="58" spans="1:13" s="12" customFormat="1" ht="15.75" customHeight="1">
      <c r="A58" s="100"/>
      <c r="D58" s="142"/>
      <c r="E58" s="142"/>
      <c r="F58" s="21"/>
      <c r="G58" s="142"/>
      <c r="H58" s="142"/>
      <c r="I58" s="142"/>
      <c r="J58" s="13"/>
      <c r="K58" s="148"/>
      <c r="L58" s="148"/>
      <c r="M58" s="100"/>
    </row>
    <row r="59" spans="1:13" s="12" customFormat="1" ht="17.25" customHeight="1">
      <c r="A59" s="100"/>
      <c r="D59" s="141" t="s">
        <v>16</v>
      </c>
      <c r="E59" s="141"/>
      <c r="F59" s="24"/>
      <c r="G59" s="141" t="s">
        <v>38</v>
      </c>
      <c r="H59" s="141"/>
      <c r="I59" s="141"/>
      <c r="J59" s="102"/>
      <c r="K59" s="141" t="s">
        <v>16</v>
      </c>
      <c r="L59" s="141"/>
      <c r="M59" s="100"/>
    </row>
    <row r="60" spans="1:13" s="12" customFormat="1" ht="10.5" customHeight="1">
      <c r="A60" s="100"/>
      <c r="D60" s="134" t="s">
        <v>17</v>
      </c>
      <c r="E60" s="134"/>
      <c r="F60" s="103"/>
      <c r="G60" s="158" t="s">
        <v>36</v>
      </c>
      <c r="H60" s="158"/>
      <c r="I60" s="158"/>
      <c r="J60" s="13"/>
      <c r="K60" s="134" t="s">
        <v>17</v>
      </c>
      <c r="L60" s="134"/>
      <c r="M60" s="100"/>
    </row>
    <row r="61" spans="1:13" s="12" customFormat="1" ht="15" customHeight="1">
      <c r="A61" s="100"/>
      <c r="D61" s="16" t="s">
        <v>18</v>
      </c>
      <c r="E61" s="104"/>
      <c r="F61" s="105"/>
      <c r="G61" s="106" t="s">
        <v>18</v>
      </c>
      <c r="H61" s="157">
        <f>L61</f>
        <v>0</v>
      </c>
      <c r="I61" s="148"/>
      <c r="J61" s="13"/>
      <c r="K61" s="106" t="s">
        <v>18</v>
      </c>
      <c r="L61" s="107">
        <f>K10</f>
        <v>0</v>
      </c>
      <c r="M61" s="27"/>
    </row>
    <row r="62" spans="1:13">
      <c r="D62" s="108"/>
      <c r="E62" s="20"/>
      <c r="F62" s="20"/>
      <c r="H62" s="20"/>
      <c r="J62" s="109"/>
      <c r="L62" s="20"/>
    </row>
  </sheetData>
  <mergeCells count="55">
    <mergeCell ref="E18:I18"/>
    <mergeCell ref="E19:I19"/>
    <mergeCell ref="H61:I61"/>
    <mergeCell ref="D59:E59"/>
    <mergeCell ref="G60:I60"/>
    <mergeCell ref="G58:I58"/>
    <mergeCell ref="E23:H23"/>
    <mergeCell ref="E24:H24"/>
    <mergeCell ref="E22:H22"/>
    <mergeCell ref="E25:H25"/>
    <mergeCell ref="E26:H26"/>
    <mergeCell ref="E27:H27"/>
    <mergeCell ref="E28:H28"/>
    <mergeCell ref="E29:H29"/>
    <mergeCell ref="E30:H30"/>
    <mergeCell ref="E31:H31"/>
    <mergeCell ref="J46:K46"/>
    <mergeCell ref="K58:L58"/>
    <mergeCell ref="K55:L55"/>
    <mergeCell ref="K53:L53"/>
    <mergeCell ref="K59:L59"/>
    <mergeCell ref="J50:K50"/>
    <mergeCell ref="K60:L60"/>
    <mergeCell ref="J47:K47"/>
    <mergeCell ref="J48:K48"/>
    <mergeCell ref="J49:K49"/>
    <mergeCell ref="D60:E60"/>
    <mergeCell ref="G59:I59"/>
    <mergeCell ref="D54:J54"/>
    <mergeCell ref="D58:E58"/>
    <mergeCell ref="D50:I50"/>
    <mergeCell ref="E12:H13"/>
    <mergeCell ref="K10:L10"/>
    <mergeCell ref="D3:E3"/>
    <mergeCell ref="J2:L2"/>
    <mergeCell ref="J3:L3"/>
    <mergeCell ref="J4:L4"/>
    <mergeCell ref="J8:L8"/>
    <mergeCell ref="D2:E2"/>
    <mergeCell ref="E10:G10"/>
    <mergeCell ref="E11:H11"/>
    <mergeCell ref="E32:H32"/>
    <mergeCell ref="E33:H33"/>
    <mergeCell ref="E34:H34"/>
    <mergeCell ref="E35:H35"/>
    <mergeCell ref="E36:H36"/>
    <mergeCell ref="E42:H42"/>
    <mergeCell ref="E43:H43"/>
    <mergeCell ref="E44:H44"/>
    <mergeCell ref="E45:H45"/>
    <mergeCell ref="E37:H37"/>
    <mergeCell ref="E38:H38"/>
    <mergeCell ref="E39:H39"/>
    <mergeCell ref="E40:H40"/>
    <mergeCell ref="E41:H41"/>
  </mergeCells>
  <phoneticPr fontId="5" type="noConversion"/>
  <pageMargins left="0.15748031496062992" right="0" top="0.23622047244094491" bottom="0.19685039370078741" header="0.23622047244094491" footer="0.15748031496062992"/>
  <pageSetup paperSize="9"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Stitch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</dc:creator>
  <cp:lastModifiedBy>ake</cp:lastModifiedBy>
  <cp:lastPrinted>2020-07-24T08:31:34Z</cp:lastPrinted>
  <dcterms:created xsi:type="dcterms:W3CDTF">2004-09-08T07:59:39Z</dcterms:created>
  <dcterms:modified xsi:type="dcterms:W3CDTF">2021-10-08T05:59:09Z</dcterms:modified>
</cp:coreProperties>
</file>