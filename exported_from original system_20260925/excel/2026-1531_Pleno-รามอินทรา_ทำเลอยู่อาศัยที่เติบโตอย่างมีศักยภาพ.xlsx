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false" showSheetTabs="false" showVerticalScroll="false" tabRatio="455" visibility="visible"/>
  </bookViews>
  <sheets>
    <sheet name="Quotation" sheetId="1" r:id="rId4"/>
  </sheets>
  <definedNames>
    <definedName name="_xlnm.Print_Area" localSheetId="0">'Quotation'!$A$1:$L$61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<sst xmlns="http://schemas.openxmlformats.org/spreadsheetml/2006/main" uniqueCount="56">
  <si>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EWIT CO., LTD.(Head office)</t>
  </si>
  <si>
    <t>QUOTATION</t>
  </si>
  <si>
    <t>บริษัท อีวิท จำกัด(สำนักงานใหญ่)</t>
  </si>
  <si>
    <t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</si>
  <si>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</si>
  <si>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</si>
  <si>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</si>
  <si>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</si>
  <si>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www.ewitewit.com  info@ewitewit.com</t>
  </si>
  <si>
    <t>ชื่อลูกค้า</t>
  </si>
  <si>
    <t xml:space="preserve"> คุณสุวิมล ศีลพิพัฒน์ </t>
  </si>
  <si>
    <t>วันที่</t>
  </si>
  <si>
    <t>Customer Name</t>
  </si>
  <si>
    <t>บริษัท เดอะแวลู พร็อพเพอร์ตี้ ดีเวลลอปเม้นท์ จำกัด (สำนักงานใหญ่)</t>
  </si>
  <si>
    <t>Date</t>
  </si>
  <si>
    <t>ที่อยู่</t>
  </si>
  <si>
    <t>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</t>
  </si>
  <si>
    <t>เลขที่</t>
  </si>
  <si>
    <t>2026/1531</t>
  </si>
  <si>
    <t>Address</t>
  </si>
  <si>
    <t>Quotation No.</t>
  </si>
  <si>
    <t>Job No.</t>
  </si>
  <si>
    <t>260902AP</t>
  </si>
  <si>
    <t>Issue by</t>
  </si>
  <si>
    <t>Terdpong Mongsonti</t>
  </si>
  <si>
    <t>We are pleased to send you here with our best quotation as the following.</t>
  </si>
  <si>
    <t>รายการ</t>
  </si>
  <si>
    <t>จำนวน</t>
  </si>
  <si>
    <t>ราคา</t>
  </si>
  <si>
    <t>รวม</t>
  </si>
  <si>
    <t>Item No.</t>
  </si>
  <si>
    <t>Description</t>
  </si>
  <si>
    <t>Quantity</t>
  </si>
  <si>
    <t>Unit Price</t>
  </si>
  <si>
    <t>Amount</t>
  </si>
  <si>
    <t xml:space="preserve"> </t>
  </si>
  <si>
    <t>Media Cost (September 2026)</t>
  </si>
  <si>
    <t>Pleno Panya - Ramintra</t>
  </si>
  <si>
    <t>Boostpost</t>
  </si>
  <si>
    <t>Payment  Condition:</t>
  </si>
  <si>
    <t xml:space="preserve"> รวมมูลค่าสินค้า (Subtotal)</t>
  </si>
  <si>
    <t>Credit Term : 30 Days</t>
  </si>
  <si>
    <t xml:space="preserve"> ราคาสุทธิ (Net)</t>
  </si>
  <si>
    <t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</si>
  <si>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</si>
  <si>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>หนึ่งหมื่นบาทถ้วน</t>
  </si>
  <si>
    <t xml:space="preserve"> รวมทั้งสิ้น (Grand Total)</t>
  </si>
  <si>
    <t>อนุมัติ โดย</t>
  </si>
  <si>
    <t>ตรวจสอบโดย</t>
  </si>
  <si>
    <t>ในนาม บริษัท อีวิท จำกัด</t>
  </si>
  <si>
    <t>For Ewit Co., Ltd.</t>
  </si>
  <si>
    <t>ผู้มีอำนาจลงนาม</t>
  </si>
  <si>
    <t>แผนกบัญชี</t>
  </si>
  <si>
    <t>Authorized Signature</t>
  </si>
  <si>
    <t>Accountant</t>
  </si>
  <si>
    <t>วันที่/Date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</si>
</sst>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-* #,##0.00_-;\-* #,##0.00_-;_-* &quot;-&quot;??_-;_-@_-"/>
    <numFmt numFmtId="166" formatCode="[$-409]d\-mmm\-yy;@"/>
    <numFmt numFmtId="167" formatCode="[$-409]dd\-mmm\-yy;@"/>
  </numFmts>
  <fonts count="3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ordia New"/>
    </font>
    <font>
      <b val="0"/>
      <i val="0"/>
      <strike val="0"/>
      <u val="none"/>
      <sz val="13"/>
      <color rgb="FF000000"/>
      <name val="Cordia New"/>
    </font>
    <font>
      <b val="0"/>
      <i val="0"/>
      <strike val="0"/>
      <u val="none"/>
      <sz val="10"/>
      <color rgb="FF000000"/>
      <name val="CordiaUPC"/>
      <charset val="222"/>
    </font>
    <font>
      <b val="0"/>
      <i val="0"/>
      <strike val="0"/>
      <u val="none"/>
      <sz val="9"/>
      <color rgb="FF000000"/>
      <name val="CordiaUPC"/>
      <charset val="222"/>
    </font>
    <font>
      <b val="0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9"/>
      <color rgb="FF000000"/>
      <name val="CordiaUPC"/>
      <charset val="222"/>
    </font>
    <font>
      <b val="1"/>
      <i val="0"/>
      <strike val="0"/>
      <u val="single"/>
      <sz val="14"/>
      <color rgb="FF000000"/>
      <name val="CordiaUPC"/>
      <charset val="222"/>
    </font>
    <font>
      <b val="1"/>
      <i val="0"/>
      <strike val="0"/>
      <u val="single"/>
      <sz val="14"/>
      <color rgb="FFFF0000"/>
      <name val="CordiaUPC"/>
      <charset val="222"/>
    </font>
    <font>
      <b val="0"/>
      <i val="0"/>
      <strike val="0"/>
      <u val="none"/>
      <sz val="14"/>
      <color rgb="FFFF0000"/>
      <name val="Cordia New"/>
    </font>
    <font>
      <b val="0"/>
      <i val="0"/>
      <strike val="0"/>
      <u val="none"/>
      <sz val="14"/>
      <color rgb="FFFF0000"/>
      <name val="CordiaUPC"/>
      <charset val="222"/>
    </font>
    <font>
      <b val="1"/>
      <i val="0"/>
      <strike val="0"/>
      <u val="none"/>
      <sz val="14"/>
      <color rgb="FF000000"/>
      <name val="Cordia New"/>
    </font>
    <font>
      <b val="1"/>
      <i val="0"/>
      <strike val="0"/>
      <u val="none"/>
      <sz val="10"/>
      <color rgb="FF000000"/>
      <name val="CordiaUPC"/>
      <charset val="222"/>
    </font>
    <font>
      <b val="1"/>
      <i val="0"/>
      <strike val="0"/>
      <u val="none"/>
      <sz val="12"/>
      <color rgb="FF000000"/>
      <name val="CordiaUPC"/>
      <charset val="222"/>
    </font>
    <font>
      <b val="0"/>
      <i val="1"/>
      <strike val="0"/>
      <u val="none"/>
      <sz val="14"/>
      <color rgb="FFFF0000"/>
      <name val="CordiaUPC"/>
      <charset val="222"/>
    </font>
    <font>
      <b val="0"/>
      <i val="0"/>
      <strike val="0"/>
      <u val="none"/>
      <sz val="12"/>
      <color rgb="FF000000"/>
      <name val="CordiaUPC"/>
      <charset val="222"/>
    </font>
    <font>
      <b val="1"/>
      <i val="0"/>
      <strike val="0"/>
      <u val="none"/>
      <sz val="14"/>
      <color theme="1"/>
      <name val="CordiaUPC"/>
      <charset val="222"/>
    </font>
    <font>
      <b val="1"/>
      <i val="0"/>
      <strike val="0"/>
      <u val="none"/>
      <sz val="16"/>
      <color rgb="FF000000"/>
      <name val="CordiaUPC"/>
      <charset val="222"/>
    </font>
    <font>
      <b val="1"/>
      <i val="0"/>
      <strike val="0"/>
      <u val="single"/>
      <sz val="9"/>
      <color rgb="FF000000"/>
      <name val="CordiaUPC"/>
      <charset val="222"/>
    </font>
    <font>
      <b val="0"/>
      <i val="0"/>
      <strike val="0"/>
      <u val="none"/>
      <sz val="16"/>
      <color rgb="FF000000"/>
      <name val="CordiaUPC"/>
      <charset val="222"/>
    </font>
    <font>
      <b val="0"/>
      <i val="0"/>
      <strike val="0"/>
      <u val="none"/>
      <sz val="10"/>
      <color rgb="FF000000"/>
      <name val="-JS Sangravee"/>
      <charset val="2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8"/>
      <color rgb="FF000000"/>
      <name val="CordiaUPC"/>
      <charset val="222"/>
    </font>
    <font>
      <b val="1"/>
      <i val="0"/>
      <strike val="0"/>
      <u val="none"/>
      <sz val="14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2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3" numFmtId="0" fillId="2" borderId="1" applyFont="1" applyNumberFormat="0" applyFill="1" applyBorder="1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0"/>
    <xf xfId="0" fontId="5" numFmtId="0" fillId="2" borderId="2" applyFont="1" applyNumberFormat="0" applyFill="1" applyBorder="1" applyAlignment="0"/>
    <xf xfId="0" fontId="0" quotePrefix="1" numFmtId="1" fillId="2" borderId="0" applyFont="0" applyNumberFormat="1" applyFill="1" applyBorder="0" applyAlignment="1">
      <alignment horizontal="left" vertical="bottom" textRotation="0" wrapText="false" shrinkToFit="false"/>
    </xf>
    <xf xfId="0" fontId="9" numFmtId="0" fillId="2" borderId="0" applyFont="1" applyNumberFormat="0" applyFill="1" applyBorder="0" applyAlignment="1">
      <alignment vertical="top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0" fillId="2" borderId="0" applyFont="1" applyNumberFormat="0" applyFill="1" applyBorder="0" applyAlignment="0"/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10" numFmtId="44" fillId="2" borderId="0" applyFont="1" applyNumberFormat="1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14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 readingOrder="2"/>
    </xf>
    <xf xfId="0" fontId="8" numFmtId="0" fillId="2" borderId="3" applyFont="1" applyNumberFormat="0" applyFill="1" applyBorder="1" applyAlignment="1">
      <alignment vertical="center" textRotation="0" wrapText="false" shrinkToFit="false"/>
    </xf>
    <xf xfId="0" fontId="15" numFmtId="0" fillId="2" borderId="4" applyFont="1" applyNumberFormat="0" applyFill="1" applyBorder="1" applyAlignment="1">
      <alignment vertical="center" textRotation="0" wrapText="true" shrinkToFit="false"/>
    </xf>
    <xf xfId="0" fontId="16" numFmtId="0" fillId="2" borderId="5" applyFont="1" applyNumberFormat="0" applyFill="1" applyBorder="1" applyAlignment="1">
      <alignment horizontal="left" vertical="center" textRotation="0" wrapText="true" shrinkToFit="false"/>
    </xf>
    <xf xfId="0" fontId="13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6" applyFont="1" applyNumberFormat="0" applyFill="1" applyBorder="1" applyAlignment="1">
      <alignment vertical="center" textRotation="0" wrapText="false" shrinkToFit="false"/>
    </xf>
    <xf xfId="0" fontId="3" numFmtId="164" fillId="2" borderId="7" applyFont="1" applyNumberFormat="1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9" numFmtId="0" fillId="2" borderId="10" applyFont="1" applyNumberFormat="0" applyFill="1" applyBorder="1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164" fillId="2" borderId="11" applyFont="1" applyNumberFormat="1" applyFill="1" applyBorder="1" applyAlignment="1">
      <alignment vertical="center" textRotation="0" wrapText="false" shrinkToFit="false"/>
    </xf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3" numFmtId="4" fillId="2" borderId="11" applyFont="1" applyNumberFormat="1" applyFill="1" applyBorder="1" applyAlignment="1">
      <alignment horizontal="right" vertical="center" textRotation="0" wrapText="false" shrinkToFit="false"/>
    </xf>
    <xf xfId="0" fontId="17" numFmtId="0" fillId="2" borderId="0" applyFont="1" applyNumberFormat="0" applyFill="1" applyBorder="0" applyAlignment="1">
      <alignment vertical="center" textRotation="0" wrapText="false" shrinkToFit="false"/>
    </xf>
    <xf xfId="0" fontId="18" numFmtId="4" fillId="2" borderId="11" applyFont="1" applyNumberFormat="1" applyFill="1" applyBorder="1" applyAlignment="1">
      <alignment horizontal="right" vertical="center" textRotation="0" wrapText="false" shrinkToFit="false"/>
    </xf>
    <xf xfId="0" fontId="18" numFmtId="165" fillId="2" borderId="12" applyFont="1" applyNumberFormat="1" applyFill="1" applyBorder="1" applyAlignment="1">
      <alignment horizontal="right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10" applyFont="1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11" applyFont="1" applyNumberFormat="1" applyFill="1" applyBorder="1" applyAlignment="1">
      <alignment vertical="center" textRotation="0" wrapText="false" shrinkToFit="false"/>
    </xf>
    <xf xfId="0" fontId="4" numFmtId="0" fillId="2" borderId="10" applyFont="1" applyNumberFormat="0" applyFill="1" applyBorder="1" applyAlignment="1">
      <alignment vertical="center" textRotation="0" wrapText="false" shrinkToFit="false"/>
    </xf>
    <xf xfId="0" fontId="19" numFmtId="0" fillId="2" borderId="9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164" fillId="2" borderId="11" applyFont="1" applyNumberFormat="1" applyFill="1" applyBorder="1" applyAlignment="1">
      <alignment vertical="center" textRotation="0" wrapText="false" shrinkToFit="false"/>
    </xf>
    <xf xfId="0" fontId="4" numFmtId="164" fillId="2" borderId="12" applyFont="1" applyNumberFormat="1" applyFill="1" applyBorder="1" applyAlignment="1">
      <alignment vertical="center" textRotation="0" wrapText="false" shrinkToFit="false"/>
    </xf>
    <xf xfId="0" fontId="9" numFmtId="0" fillId="2" borderId="3" applyFont="1" applyNumberFormat="0" applyFill="1" applyBorder="1" applyAlignment="0"/>
    <xf xfId="0" fontId="5" numFmtId="0" fillId="2" borderId="5" applyFont="1" applyNumberFormat="0" applyFill="1" applyBorder="1" applyAlignment="0"/>
    <xf xfId="0" fontId="20" numFmtId="0" fillId="2" borderId="5" applyFont="1" applyNumberFormat="0" applyFill="1" applyBorder="1" applyAlignment="0"/>
    <xf xfId="0" fontId="5" numFmtId="0" fillId="2" borderId="6" applyFont="1" applyNumberFormat="0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17" numFmtId="0" fillId="2" borderId="0" applyFont="1" applyNumberFormat="0" applyFill="1" applyBorder="0" applyAlignment="0"/>
    <xf xfId="0" fontId="21" quotePrefix="1" numFmtId="0" fillId="2" borderId="9" applyFont="1" applyNumberFormat="0" applyFill="1" applyBorder="1" applyAlignment="0"/>
    <xf xfId="0" fontId="21" numFmtId="0" fillId="2" borderId="0" applyFont="1" applyNumberFormat="0" applyFill="1" applyBorder="0" applyAlignment="1">
      <alignment vertical="bottom" textRotation="0" wrapText="true" shrinkToFit="false"/>
    </xf>
    <xf xfId="0" fontId="5" numFmtId="0" fillId="2" borderId="10" applyFont="1" applyNumberFormat="0" applyFill="1" applyBorder="1" applyAlignment="0"/>
    <xf xfId="0" fontId="22" numFmtId="165" fillId="2" borderId="13" applyFont="1" applyNumberFormat="1" applyFill="1" applyBorder="1" applyAlignment="1">
      <alignment vertical="center" textRotation="0" wrapText="false" shrinkToFit="false"/>
    </xf>
    <xf xfId="0" fontId="23" numFmtId="0" fillId="2" borderId="0" applyFont="1" applyNumberFormat="0" applyFill="1" applyBorder="0" applyAlignment="0"/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23" numFmtId="0" fillId="2" borderId="9" applyFont="1" applyNumberFormat="0" applyFill="1" applyBorder="1" applyAlignment="0"/>
    <xf xfId="0" fontId="23" numFmtId="0" fillId="2" borderId="0" applyFont="1" applyNumberFormat="0" applyFill="1" applyBorder="0" applyAlignment="0"/>
    <xf xfId="0" fontId="23" numFmtId="0" fillId="2" borderId="10" applyFont="1" applyNumberFormat="0" applyFill="1" applyBorder="1" applyAlignment="0"/>
    <xf xfId="0" fontId="13" numFmtId="165" fillId="2" borderId="13" applyFont="1" applyNumberFormat="1" applyFill="1" applyBorder="1" applyAlignment="1">
      <alignment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164" fillId="2" borderId="14" applyFont="1" applyNumberFormat="1" applyFill="1" applyBorder="1" applyAlignment="1">
      <alignment vertical="center" textRotation="0" wrapText="false" shrinkToFit="false"/>
    </xf>
    <xf xfId="0" fontId="25" numFmtId="4" fillId="2" borderId="15" applyFont="1" applyNumberFormat="1" applyFill="1" applyBorder="1" applyAlignment="1">
      <alignment vertical="center" textRotation="0" wrapText="false" shrinkToFit="false"/>
    </xf>
    <xf xfId="0" fontId="26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25" numFmtId="164" fillId="2" borderId="0" applyFont="1" applyNumberFormat="1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23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0"/>
    <xf xfId="0" fontId="27" numFmtId="166" fillId="2" borderId="1" applyFont="1" applyNumberFormat="1" applyFill="1" applyBorder="1" applyAlignment="1">
      <alignment horizontal="center" vertical="center" textRotation="0" wrapText="false" shrinkToFit="false"/>
    </xf>
    <xf xfId="0" fontId="2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166" fillId="2" borderId="1" applyFont="1" applyNumberFormat="1" applyFill="1" applyBorder="1" applyAlignment="0"/>
    <xf xfId="0" fontId="0" numFmtId="0" fillId="2" borderId="0" applyFont="0" applyNumberFormat="0" applyFill="1" applyBorder="0" applyAlignment="0"/>
    <xf xfId="0" fontId="28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29" numFmtId="0" fillId="2" borderId="0" applyFont="1" applyNumberFormat="0" applyFill="1" applyBorder="0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9" numFmtId="0" fillId="3" borderId="10" applyFont="1" applyNumberFormat="0" applyFill="1" applyBorder="1" applyAlignment="1">
      <alignment vertical="center" textRotation="0" wrapText="false" shrinkToFit="false"/>
    </xf>
    <xf xfId="0" fontId="21" numFmtId="0" fillId="3" borderId="3" applyFont="1" applyNumberFormat="0" applyFill="1" applyBorder="1" applyAlignment="1">
      <alignment horizontal="center" vertical="bottom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7" applyFont="1" applyNumberFormat="0" applyFill="1" applyBorder="1" applyAlignment="1">
      <alignment horizontal="center" vertical="bottom" textRotation="0" wrapText="false" shrinkToFit="false"/>
    </xf>
    <xf xfId="0" fontId="21" numFmtId="0" fillId="3" borderId="8" applyFont="1" applyNumberFormat="0" applyFill="1" applyBorder="1" applyAlignment="1">
      <alignment horizontal="center" vertical="bottom" textRotation="0" wrapText="false" shrinkToFit="false"/>
    </xf>
    <xf xfId="0" fontId="10" numFmtId="0" fillId="3" borderId="1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18" applyFont="1" applyNumberFormat="0" applyFill="1" applyBorder="1" applyAlignment="1">
      <alignment horizontal="center" vertical="bottom" textRotation="0" wrapText="false" shrinkToFit="false"/>
    </xf>
    <xf xfId="0" fontId="10" numFmtId="164" fillId="3" borderId="15" applyFont="1" applyNumberFormat="1" applyFill="1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3" numFmtId="167" fillId="2" borderId="1" applyFont="1" applyNumberFormat="1" applyFill="1" applyBorder="1" applyAlignment="1">
      <alignment horizontal="left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30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top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22" numFmtId="0" fillId="2" borderId="20" applyFont="1" applyNumberFormat="0" applyFill="1" applyBorder="1" applyAlignment="1">
      <alignment horizontal="left" vertical="center" textRotation="0" wrapText="false" shrinkToFit="false"/>
    </xf>
    <xf xfId="0" fontId="22" numFmtId="0" fillId="2" borderId="21" applyFont="1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horizontal="left" vertical="center" textRotation="0" wrapText="false" shrinkToFit="false"/>
    </xf>
    <xf xfId="0" fontId="13" numFmtId="0" fillId="2" borderId="23" applyFont="1" applyNumberFormat="0" applyFill="1" applyBorder="1" applyAlignment="1">
      <alignment horizontal="left" vertical="center" textRotation="0" wrapText="false" shrinkToFit="false"/>
    </xf>
    <xf xfId="0" fontId="13" numFmtId="0" fillId="2" borderId="20" applyFont="1" applyNumberFormat="0" applyFill="1" applyBorder="1" applyAlignment="1">
      <alignment horizontal="left" vertical="center" textRotation="0" wrapText="false" shrinkToFit="false"/>
    </xf>
    <xf xfId="0" fontId="13" numFmtId="0" fillId="2" borderId="21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15" numFmtId="0" fillId="3" borderId="16" applyFont="1" applyNumberFormat="0" applyFill="1" applyBorder="1" applyAlignment="1">
      <alignment horizontal="center" vertical="center" textRotation="0" wrapText="false" shrinkToFit="false"/>
    </xf>
    <xf xfId="0" fontId="15" numFmtId="0" fillId="3" borderId="17" applyFont="1" applyNumberFormat="0" applyFill="1" applyBorder="1" applyAlignment="1">
      <alignment horizontal="center" vertical="center" textRotation="0" wrapText="false" shrinkToFit="false"/>
    </xf>
    <xf xfId="0" fontId="15" numFmtId="0" fillId="3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4" applyFont="1" applyNumberFormat="0" applyFill="1" applyBorder="1" applyAlignment="1">
      <alignment horizontal="left" vertical="center" textRotation="0" wrapText="false" shrinkToFit="false"/>
    </xf>
    <xf xfId="0" fontId="13" numFmtId="0" fillId="2" borderId="6" applyFont="1" applyNumberFormat="0" applyFill="1" applyBorder="1" applyAlignment="1">
      <alignment horizontal="left" vertical="center" textRotation="0" wrapText="false" shrinkToFit="false"/>
    </xf>
    <xf xfId="0" fontId="1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25" applyFont="1" applyNumberFormat="0" applyFill="1" applyBorder="1" applyAlignment="1">
      <alignment horizontal="left" vertical="center" textRotation="0" wrapText="false" shrinkToFit="false"/>
    </xf>
    <xf xfId="0" fontId="9" numFmtId="0" fillId="2" borderId="26" applyFont="1" applyNumberFormat="0" applyFill="1" applyBorder="1" applyAlignment="1">
      <alignment horizontal="left" vertical="center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24" applyFont="1" applyNumberFormat="0" applyFill="1" applyBorder="1" applyAlignment="1">
      <alignment horizontal="center" vertical="bottom" textRotation="0" wrapText="false" shrinkToFit="false"/>
    </xf>
    <xf xfId="0" fontId="13" numFmtId="166" fillId="2" borderId="1" applyFont="1" applyNumberFormat="1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2" borderId="19" applyFont="1" applyNumberFormat="0" applyFill="1" applyBorder="1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31" numFmtId="0" fillId="3" borderId="19" applyFont="1" applyNumberFormat="0" applyFill="1" applyBorder="1" applyAlignment="1">
      <alignment horizontal="left" vertical="center" textRotation="0" wrapText="false" shrinkToFit="false"/>
    </xf>
    <xf xfId="0" fontId="31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15" fillId="2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61d28000ecb745bdbe1e9980b11ec.jpeg"/><Relationship Id="rId2" Type="http://schemas.openxmlformats.org/officeDocument/2006/relationships/image" Target="../media/83e20b01ddf7255c1bd4bda8254286ba.png"/><Relationship Id="rId3" Type="http://schemas.openxmlformats.org/officeDocument/2006/relationships/image" Target="../media/f8802d0489c57a741afc2a557658f187.png"/><Relationship Id="rId4" Type="http://schemas.openxmlformats.org/officeDocument/2006/relationships/image" Target="../media/ee46f7fbbf2165c96fa660e6ec34f0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1" name="Picture 209" descr="ewitlogo-notha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54</xdr:row>
      <xdr:rowOff>38100</xdr:rowOff>
    </xdr:from>
    <xdr:to>
      <xdr:col>7</xdr:col>
      <xdr:colOff>638175</xdr:colOff>
      <xdr:row>58</xdr:row>
      <xdr:rowOff>28575</xdr:rowOff>
    </xdr:to>
    <xdr:pic>
      <xdr:nvPicPr>
        <xdr:cNvPr id="2" name="Picture 66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5252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28575</xdr:rowOff>
    </xdr:to>
    <xdr:pic>
      <xdr:nvPicPr>
        <xdr:cNvPr id="3" name="Picture 66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4777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47625</xdr:rowOff>
    </xdr:to>
    <xdr:pic>
      <xdr:nvPicPr>
        <xdr:cNvPr id="4" name="Picture 66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144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62"/>
  <sheetViews>
    <sheetView tabSelected="1" workbookViewId="0" zoomScaleSheetLayoutView="75" showGridLines="false" showRowColHeaders="1">
      <selection activeCell="K10" sqref="K10"/>
    </sheetView>
  </sheetViews>
  <sheetFormatPr defaultRowHeight="14.4" defaultColWidth="9.140625" outlineLevelRow="0" outlineLevelCol="0"/>
  <cols>
    <col min="1" max="1" width="10.140625" customWidth="true" style="22"/>
    <col min="2" max="2" width="2.140625" customWidth="true" style="4"/>
    <col min="3" max="3" width="0.85546875" customWidth="true" style="4"/>
    <col min="4" max="4" width="10.42578125" customWidth="true" style="4"/>
    <col min="5" max="5" width="27.7109375" customWidth="true" style="4"/>
    <col min="6" max="6" width="18.5703125" customWidth="true" style="4"/>
    <col min="7" max="7" width="9.85546875" customWidth="true" style="4"/>
    <col min="8" max="8" width="13.5703125" customWidth="true" style="4"/>
    <col min="9" max="9" width="0.7109375" customWidth="true" style="4"/>
    <col min="10" max="10" width="11.140625" customWidth="true" style="4"/>
    <col min="11" max="11" width="13.5703125" customWidth="true" style="4"/>
    <col min="12" max="12" width="14.85546875" customWidth="true" style="4"/>
    <col min="13" max="13" width="11.28515625" customWidth="true" style="22"/>
    <col min="14" max="14" width="9.140625" style="4"/>
  </cols>
  <sheetData>
    <row r="1" spans="1:14" customHeight="1" ht="6"/>
    <row r="2" spans="1:14" customHeight="1" ht="16.5">
      <c r="A2" s="22"/>
      <c r="D2" s="128" t="s">
        <v>0</v>
      </c>
      <c r="E2" s="128"/>
      <c r="F2" s="13"/>
      <c r="G2" s="13"/>
      <c r="H2" s="13"/>
      <c r="I2" s="13"/>
      <c r="J2" s="128" t="s">
        <v>1</v>
      </c>
      <c r="K2" s="128"/>
      <c r="L2" s="128"/>
    </row>
    <row r="3" spans="1:14" customHeight="1" ht="16.5">
      <c r="D3" s="127" t="s">
        <v>2</v>
      </c>
      <c r="E3" s="127"/>
      <c r="F3" s="13"/>
      <c r="G3" s="13"/>
      <c r="H3" s="13"/>
      <c r="I3" s="13"/>
      <c r="J3" s="129" t="s">
        <v>3</v>
      </c>
      <c r="K3" s="129"/>
      <c r="L3" s="129"/>
    </row>
    <row r="4" spans="1:14" customHeight="1" ht="11.25" s="5" customFormat="1">
      <c r="A4" s="20"/>
      <c r="D4" s="14" t="s">
        <v>4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4" customHeight="1" ht="11.25" s="5" customFormat="1">
      <c r="A5" s="20"/>
      <c r="D5" s="14" t="s">
        <v>5</v>
      </c>
      <c r="E5" s="14"/>
      <c r="F5" s="14"/>
      <c r="G5" s="14"/>
      <c r="H5" s="14"/>
      <c r="I5" s="15"/>
      <c r="J5" s="16"/>
      <c r="K5" s="17"/>
      <c r="L5" s="18"/>
      <c r="M5" s="20"/>
    </row>
    <row r="6" spans="1:14" customHeight="1" ht="11.25" s="5" customFormat="1">
      <c r="A6" s="20"/>
      <c r="D6" s="14" t="s">
        <v>6</v>
      </c>
      <c r="E6" s="14"/>
      <c r="F6" s="14"/>
      <c r="G6" s="14"/>
      <c r="H6" s="14"/>
      <c r="I6" s="15"/>
      <c r="J6" s="15"/>
      <c r="K6" s="15"/>
      <c r="L6" s="19"/>
      <c r="M6" s="20"/>
    </row>
    <row r="7" spans="1:14" customHeight="1" ht="11.25" s="5" customFormat="1">
      <c r="A7" s="20"/>
      <c r="D7" s="14" t="s">
        <v>7</v>
      </c>
      <c r="E7" s="14"/>
      <c r="F7" s="14"/>
      <c r="G7" s="14"/>
      <c r="H7" s="14"/>
      <c r="I7" s="15"/>
      <c r="J7" s="15"/>
      <c r="K7" s="15"/>
      <c r="L7" s="19"/>
      <c r="M7" s="20"/>
    </row>
    <row r="8" spans="1:14" customHeight="1" ht="9.75" s="5" customFormat="1">
      <c r="A8" s="20"/>
      <c r="D8" s="14" t="s">
        <v>8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4" customHeight="1" ht="12.75">
      <c r="D9" s="21"/>
      <c r="E9" s="21"/>
      <c r="F9" s="21"/>
      <c r="G9" s="21"/>
      <c r="H9" s="21"/>
      <c r="I9" s="21"/>
      <c r="J9" s="21"/>
      <c r="K9" s="21"/>
      <c r="L9" s="21"/>
    </row>
    <row r="10" spans="1:14" customHeight="1" ht="17.1" s="6" customFormat="1">
      <c r="A10" s="110"/>
      <c r="D10" s="23" t="s">
        <v>9</v>
      </c>
      <c r="E10" s="132" t="s">
        <v>10</v>
      </c>
      <c r="F10" s="132"/>
      <c r="G10" s="132"/>
      <c r="H10" s="24"/>
      <c r="I10" s="25"/>
      <c r="J10" s="26" t="s">
        <v>11</v>
      </c>
      <c r="K10" s="163">
        <v>46290.0</v>
      </c>
      <c r="L10" s="126"/>
      <c r="M10" s="27"/>
    </row>
    <row r="11" spans="1:14" customHeight="1" ht="18.75">
      <c r="D11" s="28" t="s">
        <v>12</v>
      </c>
      <c r="E11" s="133" t="s">
        <v>13</v>
      </c>
      <c r="F11" s="133"/>
      <c r="G11" s="133"/>
      <c r="H11" s="133"/>
      <c r="I11" s="13"/>
      <c r="J11" s="28" t="s">
        <v>14</v>
      </c>
      <c r="K11" s="29"/>
      <c r="L11" s="29"/>
    </row>
    <row r="12" spans="1:14" customHeight="1" ht="18.75">
      <c r="D12" s="23" t="s">
        <v>15</v>
      </c>
      <c r="E12" s="125" t="s">
        <v>16</v>
      </c>
      <c r="F12" s="125"/>
      <c r="G12" s="125"/>
      <c r="H12" s="125"/>
      <c r="I12" s="30"/>
      <c r="J12" s="26" t="s">
        <v>17</v>
      </c>
      <c r="K12" s="31" t="s">
        <v>18</v>
      </c>
      <c r="L12" s="31"/>
      <c r="M12" s="32"/>
    </row>
    <row r="13" spans="1:14" customHeight="1" ht="22.5">
      <c r="D13" s="28" t="s">
        <v>19</v>
      </c>
      <c r="E13" s="125"/>
      <c r="F13" s="125"/>
      <c r="G13" s="125"/>
      <c r="H13" s="125"/>
      <c r="I13" s="13"/>
      <c r="J13" s="28" t="s">
        <v>20</v>
      </c>
      <c r="K13" s="33"/>
      <c r="L13" s="33"/>
      <c r="M13" s="32"/>
    </row>
    <row r="14" spans="1:14" customHeight="1" ht="18.75">
      <c r="D14" s="28"/>
      <c r="E14" s="34"/>
      <c r="F14" s="35"/>
      <c r="G14" s="35"/>
      <c r="H14" s="36"/>
      <c r="I14" s="13"/>
      <c r="J14" s="37" t="s">
        <v>21</v>
      </c>
      <c r="K14" s="31" t="s">
        <v>22</v>
      </c>
      <c r="L14" s="31"/>
      <c r="M14" s="32"/>
    </row>
    <row r="15" spans="1:14" customHeight="1" ht="18.75" s="7" customFormat="1">
      <c r="A15" s="41"/>
      <c r="D15" s="38" t="s">
        <v>23</v>
      </c>
      <c r="E15" s="39" t="s">
        <v>24</v>
      </c>
      <c r="F15" s="40"/>
      <c r="G15" s="24"/>
      <c r="H15" s="24"/>
      <c r="I15" s="13"/>
      <c r="M15" s="41"/>
    </row>
    <row r="16" spans="1:14" customHeight="1" ht="0.75">
      <c r="D16" s="42"/>
      <c r="F16" s="24"/>
      <c r="G16" s="24"/>
      <c r="H16" s="24"/>
      <c r="I16" s="13"/>
      <c r="J16" s="21"/>
      <c r="K16" s="21"/>
      <c r="L16" s="21"/>
    </row>
    <row r="17" spans="1:14" customHeight="1" ht="30" s="8" customFormat="1">
      <c r="A17" s="111"/>
      <c r="D17" s="43" t="s">
        <v>25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4" customHeight="1" ht="18.75">
      <c r="D18" s="115" t="s">
        <v>17</v>
      </c>
      <c r="E18" s="153" t="s">
        <v>26</v>
      </c>
      <c r="F18" s="153"/>
      <c r="G18" s="153"/>
      <c r="H18" s="153"/>
      <c r="I18" s="154"/>
      <c r="J18" s="116" t="s">
        <v>27</v>
      </c>
      <c r="K18" s="117" t="s">
        <v>28</v>
      </c>
      <c r="L18" s="118" t="s">
        <v>29</v>
      </c>
    </row>
    <row r="19" spans="1:14" customHeight="1" ht="18.75">
      <c r="D19" s="119" t="s">
        <v>30</v>
      </c>
      <c r="E19" s="155" t="s">
        <v>31</v>
      </c>
      <c r="F19" s="155"/>
      <c r="G19" s="155"/>
      <c r="H19" s="155"/>
      <c r="I19" s="156"/>
      <c r="J19" s="120" t="s">
        <v>32</v>
      </c>
      <c r="K19" s="121" t="s">
        <v>33</v>
      </c>
      <c r="L19" s="122" t="s">
        <v>34</v>
      </c>
    </row>
    <row r="20" spans="1:14" customHeight="1" ht="2.25">
      <c r="D20" s="1"/>
      <c r="E20" s="2"/>
      <c r="F20" s="3" t="s">
        <v>35</v>
      </c>
      <c r="G20" s="2"/>
      <c r="H20" s="2"/>
      <c r="I20" s="2"/>
      <c r="J20" s="2"/>
      <c r="K20" s="2"/>
      <c r="L20" s="113"/>
    </row>
    <row r="21" spans="1:14" customHeight="1" ht="9" s="9" customForma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4" customHeight="1" ht="18.95" s="10" customFormat="1">
      <c r="A22" s="60"/>
      <c r="D22" s="90"/>
      <c r="E22" s="161" t="s">
        <v>36</v>
      </c>
      <c r="F22" s="162"/>
      <c r="G22" s="162"/>
      <c r="H22" s="162"/>
      <c r="I22" s="114"/>
      <c r="J22" s="57"/>
      <c r="K22" s="68"/>
      <c r="L22" s="91"/>
      <c r="M22" s="60"/>
    </row>
    <row r="23" spans="1:14" customHeight="1" ht="18.95" s="10" customFormat="1">
      <c r="A23" s="60"/>
      <c r="D23" s="55">
        <v>1</v>
      </c>
      <c r="E23" s="159" t="s">
        <v>37</v>
      </c>
      <c r="F23" s="160"/>
      <c r="G23" s="160"/>
      <c r="H23" s="160"/>
      <c r="I23" s="56"/>
      <c r="J23" s="57"/>
      <c r="K23" s="58"/>
      <c r="L23" s="59"/>
      <c r="M23" s="60"/>
    </row>
    <row r="24" spans="1:14" customHeight="1" ht="18.95" s="10" customFormat="1">
      <c r="A24" s="60"/>
      <c r="D24" s="55"/>
      <c r="E24" s="123" t="s">
        <v>38</v>
      </c>
      <c r="F24" s="124"/>
      <c r="G24" s="124"/>
      <c r="H24" s="124"/>
      <c r="I24" s="56"/>
      <c r="J24" s="57">
        <v>1</v>
      </c>
      <c r="K24" s="61">
        <v>9345.79000000000087</v>
      </c>
      <c r="L24" s="59">
        <f>K24*J24</f>
        <v>9345.79000000000087</v>
      </c>
      <c r="M24" s="62"/>
    </row>
    <row r="25" spans="1:14" customHeight="1" ht="18.95" s="10" customForma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4" customHeight="1" ht="18.95" s="10" customForma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4" customHeight="1" ht="18.75" s="11" customForma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4" customHeight="1" ht="18.75" s="11" customForma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4" customHeight="1" ht="18.75" s="11" customForma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4" customHeight="1" ht="18.75" s="11" customForma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4" customHeight="1" ht="18.75" s="11" customForma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4" customHeight="1" ht="18.75" s="11" customForma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4" customHeight="1" ht="18.75" s="11" customForma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4" customHeight="1" ht="18.75" s="11" customForma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4" customHeight="1" ht="18.75" s="11" customForma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4" customHeight="1" ht="18.75" s="11" customForma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4" customHeight="1" ht="18.75" s="11" customForma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4" customHeight="1" ht="18.75" s="11" customForma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4" customHeight="1" ht="18.75" s="11" customForma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4" customHeight="1" ht="18.75" s="11" customForma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4" customHeight="1" ht="18.75" s="11" customForma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4" customHeight="1" ht="18.75" s="11" customForma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4" customHeight="1" ht="18.75" s="11" customForma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4" customHeight="1" ht="18.75" s="11" customForma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4" customHeight="1" ht="18.6" s="11" customForma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4" customHeight="1" ht="18.75">
      <c r="D46" s="74" t="s">
        <v>39</v>
      </c>
      <c r="E46" s="75"/>
      <c r="F46" s="76"/>
      <c r="G46" s="75"/>
      <c r="H46" s="75"/>
      <c r="I46" s="77"/>
      <c r="J46" s="146" t="s">
        <v>40</v>
      </c>
      <c r="K46" s="147"/>
      <c r="L46" s="78">
        <f>SUM(L23:L45)</f>
        <v>9345.79000000000087</v>
      </c>
      <c r="M46" s="79"/>
    </row>
    <row r="47" spans="1:14" customHeight="1" ht="21.75">
      <c r="D47" s="80"/>
      <c r="E47" s="81"/>
      <c r="F47" s="81"/>
      <c r="G47" s="81"/>
      <c r="H47" s="81"/>
      <c r="I47" s="82"/>
      <c r="J47" s="135"/>
      <c r="K47" s="136"/>
      <c r="L47" s="83"/>
    </row>
    <row r="48" spans="1:14" customHeight="1" ht="17.1">
      <c r="D48" s="80"/>
      <c r="E48" s="84" t="s">
        <v>41</v>
      </c>
      <c r="F48" s="81"/>
      <c r="G48" s="81"/>
      <c r="H48" s="81"/>
      <c r="I48" s="82"/>
      <c r="J48" s="137" t="s">
        <v>42</v>
      </c>
      <c r="K48" s="138"/>
      <c r="L48" s="85">
        <f>L46</f>
        <v>9345.79000000000087</v>
      </c>
      <c r="M48" s="79"/>
    </row>
    <row r="49" spans="1:14" customHeight="1" ht="20.25">
      <c r="D49" s="86"/>
      <c r="E49" s="87" t="s">
        <v>43</v>
      </c>
      <c r="F49" s="87"/>
      <c r="G49" s="87"/>
      <c r="H49" s="87"/>
      <c r="I49" s="88"/>
      <c r="J49" s="139" t="s">
        <v>44</v>
      </c>
      <c r="K49" s="140"/>
      <c r="L49" s="89">
        <f>L48*7/100</f>
        <v>654.20530000000008</v>
      </c>
      <c r="M49" s="112"/>
    </row>
    <row r="50" spans="1:14" customHeight="1" ht="23.25">
      <c r="D50" s="143" t="s">
        <v>45</v>
      </c>
      <c r="E50" s="144"/>
      <c r="F50" s="144"/>
      <c r="G50" s="144"/>
      <c r="H50" s="144"/>
      <c r="I50" s="145"/>
      <c r="J50" s="151" t="s">
        <v>46</v>
      </c>
      <c r="K50" s="152"/>
      <c r="L50" s="92">
        <f>L48+L49</f>
        <v>9999.9953000000005</v>
      </c>
      <c r="M50" s="32"/>
    </row>
    <row r="51" spans="1:14" customHeight="1" ht="12">
      <c r="D51" s="93"/>
      <c r="E51" s="93"/>
      <c r="F51" s="93"/>
      <c r="G51" s="93"/>
      <c r="H51" s="93"/>
      <c r="I51" s="93"/>
      <c r="J51" s="94"/>
      <c r="K51" s="94"/>
      <c r="L51" s="95"/>
    </row>
    <row r="52" spans="1:14" customHeight="1" ht="2.25">
      <c r="D52" s="93"/>
      <c r="E52" s="93"/>
      <c r="F52" s="93"/>
      <c r="G52" s="93"/>
      <c r="H52" s="93"/>
      <c r="I52" s="93"/>
      <c r="J52" s="94"/>
      <c r="K52" s="94"/>
      <c r="L52" s="95"/>
    </row>
    <row r="53" spans="1:14" customHeight="1" ht="21" s="12" customFormat="1">
      <c r="A53" s="100"/>
      <c r="D53" s="96" t="s">
        <v>47</v>
      </c>
      <c r="E53" s="97"/>
      <c r="F53" s="97"/>
      <c r="G53" s="98" t="s">
        <v>48</v>
      </c>
      <c r="H53" s="97"/>
      <c r="I53" s="97"/>
      <c r="J53" s="97"/>
      <c r="K53" s="150" t="s">
        <v>49</v>
      </c>
      <c r="L53" s="150"/>
      <c r="M53" s="100"/>
    </row>
    <row r="54" spans="1:14" customHeight="1" ht="9.75" s="12" customFormat="1">
      <c r="A54" s="100"/>
      <c r="D54" s="131"/>
      <c r="E54" s="131"/>
      <c r="F54" s="131"/>
      <c r="G54" s="131"/>
      <c r="H54" s="131"/>
      <c r="I54" s="131"/>
      <c r="J54" s="131"/>
      <c r="K54" s="26" t="s">
        <v>50</v>
      </c>
      <c r="L54" s="99"/>
      <c r="M54" s="100"/>
    </row>
    <row r="55" spans="1:14" customHeight="1" ht="9" s="12" customFormat="1">
      <c r="A55" s="100"/>
      <c r="D55" s="100"/>
      <c r="E55" s="100"/>
      <c r="G55" s="12"/>
      <c r="K55" s="149"/>
      <c r="L55" s="149"/>
      <c r="M55" s="100"/>
    </row>
    <row r="56" spans="1:14" customHeight="1" ht="10.5" s="12" customFormat="1">
      <c r="A56" s="100"/>
      <c r="D56" s="100"/>
      <c r="E56" s="101"/>
      <c r="M56" s="100"/>
    </row>
    <row r="57" spans="1:14" customHeight="1" ht="15.75" s="12" customFormat="1">
      <c r="A57" s="100"/>
      <c r="D57" s="100"/>
      <c r="E57" s="100"/>
      <c r="M57" s="100"/>
    </row>
    <row r="58" spans="1:14" customHeight="1" ht="15.75" s="12" customForma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4" customHeight="1" ht="17.25" s="12" customFormat="1">
      <c r="A59" s="100"/>
      <c r="D59" s="141" t="s">
        <v>51</v>
      </c>
      <c r="E59" s="141"/>
      <c r="F59" s="24"/>
      <c r="G59" s="141" t="s">
        <v>52</v>
      </c>
      <c r="H59" s="141"/>
      <c r="I59" s="141"/>
      <c r="J59" s="102"/>
      <c r="K59" s="141" t="s">
        <v>51</v>
      </c>
      <c r="L59" s="141"/>
      <c r="M59" s="100"/>
    </row>
    <row r="60" spans="1:14" customHeight="1" ht="10.5" s="12" customFormat="1">
      <c r="A60" s="100"/>
      <c r="D60" s="134" t="s">
        <v>53</v>
      </c>
      <c r="E60" s="134"/>
      <c r="F60" s="103"/>
      <c r="G60" s="158" t="s">
        <v>54</v>
      </c>
      <c r="H60" s="158"/>
      <c r="I60" s="158"/>
      <c r="J60" s="13"/>
      <c r="K60" s="134" t="s">
        <v>53</v>
      </c>
      <c r="L60" s="134"/>
      <c r="M60" s="100"/>
    </row>
    <row r="61" spans="1:14" customHeight="1" ht="15" s="12" customFormat="1">
      <c r="A61" s="100"/>
      <c r="D61" s="16" t="s">
        <v>55</v>
      </c>
      <c r="E61" s="104"/>
      <c r="F61" s="105"/>
      <c r="G61" s="106" t="s">
        <v>55</v>
      </c>
      <c r="H61" s="157">
        <f>L61</f>
        <v>46290</v>
      </c>
      <c r="I61" s="148"/>
      <c r="J61" s="13"/>
      <c r="K61" s="106" t="s">
        <v>55</v>
      </c>
      <c r="L61" s="107">
        <f>K10</f>
        <v>46290</v>
      </c>
      <c r="M61" s="27"/>
    </row>
    <row r="62" spans="1:14">
      <c r="D62" s="108"/>
      <c r="E62" s="20"/>
      <c r="F62" s="20"/>
      <c r="H62" s="20"/>
      <c r="J62" s="109"/>
      <c r="L62" s="20"/>
    </row>
  </sheetData>
  <mergeCells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rintOptions gridLines="false" gridLinesSet="true"/>
  <pageMargins left="0.15748031496063" right="0" top="0.23622047244094" bottom="0.19685039370079" header="0.23622047244094" footer="0.15748031496063"/>
  <pageSetup paperSize="9" orientation="portrait" scale="7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Stitch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dcterms:created xsi:type="dcterms:W3CDTF">2004-09-08T14:59:39+07:00</dcterms:created>
  <dcterms:modified xsi:type="dcterms:W3CDTF">2021-10-08T12:59:09+07:00</dcterms:modified>
  <dc:title/>
  <dc:description/>
  <dc:subject/>
  <cp:keywords/>
  <cp:category/>
</cp:coreProperties>
</file>