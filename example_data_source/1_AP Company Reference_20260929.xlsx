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หัวบริษัทฯ" sheetId="1" state="visible" r:id="rId3"/>
    <sheet name="project id" sheetId="2" state="visible" r:id="rId4"/>
    <sheet name="addr" sheetId="3" state="visible" r:id="rId5"/>
    <sheet name="tax id" sheetId="4" state="visible" r:id="rId6"/>
  </sheets>
  <definedNames>
    <definedName function="false" hidden="true" localSheetId="0" name="_xlnm._FilterDatabase" vbProcedure="false">หัวบริษัทฯ!$A$1:$I$479</definedName>
    <definedName function="false" hidden="true" localSheetId="0" name="Z_E7D6EEA4_656F_4C5B_A576_5674432F18D6_.wvu.FilterData" vbProcedure="false">หัวบริษัทฯ!$A$1:$F$312</definedName>
  </definedNames>
  <calcPr iterateCount="100" refMode="A1" iterate="false" iterateDelta="0.0001"/>
  <pivotCaches>
    <pivotCache cacheId="1" r:id="rId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<sst xmlns="http://schemas.openxmlformats.org/spreadsheetml/2006/main" count="3125" uniqueCount="712">
  <si>
    <t xml:space="preserve">Project</t>
  </si>
  <si>
    <t xml:space="preserve">หัวบริษัท (TH)</t>
  </si>
  <si>
    <t xml:space="preserve">หัวบริษัท (EN)</t>
  </si>
  <si>
    <t xml:space="preserve">ที่อยู่ (TH)</t>
  </si>
  <si>
    <t xml:space="preserve">ที่อยู่ (EN)</t>
  </si>
  <si>
    <t xml:space="preserve">เลขประจำตัวผู้เสียภาษี</t>
  </si>
  <si>
    <t xml:space="preserve">Project ID</t>
  </si>
  <si>
    <t xml:space="preserve">Cost Center</t>
  </si>
  <si>
    <t xml:space="preserve">AddressLong</t>
  </si>
  <si>
    <t xml:space="preserve">Centro อ่อนนุช - วงแหวน</t>
  </si>
  <si>
    <t xml:space="preserve">บริษัท เอพี (ไทยแลนด์) จำกัด (มหาชน)</t>
  </si>
  <si>
    <t xml:space="preserve">AP (Thailand) Public Company Limited (Head Office)</t>
  </si>
  <si>
    <t xml:space="preserve">170/57 อาคารโอเชี่ยนทาวเวอร์ 1 ชั้น 18 ถ.รัชดาภิเษกตัดใหม่ 
แขวงคลองเตย เขตคลองเตย กรุงเทพฯ 10110</t>
  </si>
  <si>
    <t xml:space="preserve">170/57 Ocean Tower 1 Building., 18th Floor, New Ratchadapisek Road, Klongtoey Sub-district, Klongtoey District, Bangkok 10110</t>
  </si>
  <si>
    <t xml:space="preserve">0107537000149</t>
  </si>
  <si>
    <t xml:space="preserve">Centro รามอินทรา</t>
  </si>
  <si>
    <t xml:space="preserve">Centro วัชรพล</t>
  </si>
  <si>
    <t xml:space="preserve">Centro รัตนาธิเบศร์</t>
  </si>
  <si>
    <t xml:space="preserve">Centro รามอินทรา 109</t>
  </si>
  <si>
    <t xml:space="preserve">Centro ศรีนครินทร์ - บางนา</t>
  </si>
  <si>
    <t xml:space="preserve">Centro Westgate</t>
  </si>
  <si>
    <t xml:space="preserve">The City ราชพฤกษ์ - จรัญฯ 13</t>
  </si>
  <si>
    <t xml:space="preserve">The City รามอินทรา</t>
  </si>
  <si>
    <t xml:space="preserve">The City สุขุมวิท - แยกบางนา</t>
  </si>
  <si>
    <t xml:space="preserve">The City พหลโยธิน</t>
  </si>
  <si>
    <t xml:space="preserve">The City ราชพฤกษ์</t>
  </si>
  <si>
    <t xml:space="preserve">The City นวมินทร์</t>
  </si>
  <si>
    <t xml:space="preserve">The Palazzo พระราม 3 - สุขสวัสดิ์</t>
  </si>
  <si>
    <t xml:space="preserve">The Palazzo ราษฏร์บูรณะ</t>
  </si>
  <si>
    <t xml:space="preserve">The Palazzo จรัญสนิทวงศ์ - ราชพฤกษ์</t>
  </si>
  <si>
    <t xml:space="preserve">Soul รัชดาภิเษก 68</t>
  </si>
  <si>
    <t xml:space="preserve">Soul ลาดพร้าว - เสนา</t>
  </si>
  <si>
    <t xml:space="preserve">Soul เอกมัย - ลาดพร้าว</t>
  </si>
  <si>
    <t xml:space="preserve">Mind ติวานนท์</t>
  </si>
  <si>
    <t xml:space="preserve">Mind ปิ่นเกล้า - จรัญฯ</t>
  </si>
  <si>
    <t xml:space="preserve">Mind พระราม 2 - สาทร</t>
  </si>
  <si>
    <t xml:space="preserve">บ้านกลางเมือง สาทร - ตากสิน 2</t>
  </si>
  <si>
    <t xml:space="preserve">บ้านกลางเมือง พระราม 9 - รามคำแหง</t>
  </si>
  <si>
    <t xml:space="preserve">บ้านกลางเมือง กัลปพฤกษ์</t>
  </si>
  <si>
    <t xml:space="preserve">บ้านกลางเมือง นวมินทร์ 42</t>
  </si>
  <si>
    <t xml:space="preserve">บ้านกลางเมือง โชคชัย 4</t>
  </si>
  <si>
    <t xml:space="preserve">บ้านกลางเมือง พระราม 9</t>
  </si>
  <si>
    <t xml:space="preserve">บ้านกลางเมือง สุขุมวิท 77</t>
  </si>
  <si>
    <t xml:space="preserve">District ศรีวรา</t>
  </si>
  <si>
    <t xml:space="preserve">บ้านกลางเมือง วิภาวดี</t>
  </si>
  <si>
    <t xml:space="preserve">Centro สุขสวัสดิ์ - พระราม 3</t>
  </si>
  <si>
    <t xml:space="preserve">Centro ปิ๋นเกล้า - วงแหวน</t>
  </si>
  <si>
    <t xml:space="preserve">Centro ราชพฤกษ์</t>
  </si>
  <si>
    <t xml:space="preserve">The City สาทร - ราชพฤกษ์</t>
  </si>
  <si>
    <t xml:space="preserve">The City ปิ๋นเกล้า - สาย 4</t>
  </si>
  <si>
    <t xml:space="preserve">Centro รังสิต</t>
  </si>
  <si>
    <t xml:space="preserve">บ้านกลางเมือง ปิ่นเกล้า-จรัญฯ</t>
  </si>
  <si>
    <t xml:space="preserve">Centro ชัยพฤกษ์-แจ้งวัฒนะ</t>
  </si>
  <si>
    <t xml:space="preserve">Pleno พหลโยธิน-วัชรพล</t>
  </si>
  <si>
    <t xml:space="preserve">บ้านกลางเมือง ลาดพร้าว-เสรีไทย</t>
  </si>
  <si>
    <t xml:space="preserve">Pleno ชัยพฤกษ์-แจ้งวัฒนะ</t>
  </si>
  <si>
    <t xml:space="preserve">Pleno บางใหญ่</t>
  </si>
  <si>
    <t xml:space="preserve">Pleno พหลโยธิน</t>
  </si>
  <si>
    <t xml:space="preserve">บ้านกลางเมือง พระราม 2</t>
  </si>
  <si>
    <t xml:space="preserve">บ้านกลางเมือง พหลโยธิน 50</t>
  </si>
  <si>
    <t xml:space="preserve">บ้านกลางเมือง สวนหลวง</t>
  </si>
  <si>
    <t xml:space="preserve">บ้านกลางเมือง เกษตร - นวมินทร์</t>
  </si>
  <si>
    <t xml:space="preserve">บ้านกลางเมือง พระราม 2 - พุทธบูชา</t>
  </si>
  <si>
    <t xml:space="preserve">บ้านกลางเมือง ลาดพร้าว 71</t>
  </si>
  <si>
    <t xml:space="preserve">บ้านกลางเมือง รัตนาธิเบศร์</t>
  </si>
  <si>
    <t xml:space="preserve">บ้านกลางเมือง งามวงศ์วาน</t>
  </si>
  <si>
    <t xml:space="preserve">บ้านกลางเมือง รัชโยธิน</t>
  </si>
  <si>
    <t xml:space="preserve">บ้านกลางเมือง สุขสวัสดิ์</t>
  </si>
  <si>
    <t xml:space="preserve">บ้านกลางเมือง THE EDITION พระราม 9 - อ่อนนุช</t>
  </si>
  <si>
    <t xml:space="preserve">District เอกมัย - รามอินทรา</t>
  </si>
  <si>
    <t xml:space="preserve">Aspire รัตนาธิเบศร์ 1</t>
  </si>
  <si>
    <t xml:space="preserve">Aspire สาทร - ตากสิน (บริคโซน)</t>
  </si>
  <si>
    <t xml:space="preserve">Aspire สาทร - ตากสิน (คอปเปอร์โซน)</t>
  </si>
  <si>
    <t xml:space="preserve">Aspire สาทร - ตากสิน (ทิมเบอร์โซน)</t>
  </si>
  <si>
    <t xml:space="preserve">Aspire พระราม 9</t>
  </si>
  <si>
    <t xml:space="preserve">Aspire สุขุมวิท 48</t>
  </si>
  <si>
    <t xml:space="preserve">Life รัชดาภิเษก</t>
  </si>
  <si>
    <t xml:space="preserve">Rhythm สาทร</t>
  </si>
  <si>
    <t xml:space="preserve">Rhythm อโศก I</t>
  </si>
  <si>
    <t xml:space="preserve">Pleno สุขสวัสดิ์ - พระราม 3</t>
  </si>
  <si>
    <t xml:space="preserve">Grande Pleno สุขสวัสดิ์</t>
  </si>
  <si>
    <t xml:space="preserve">Pleno พหลโยธิน - สายไหม</t>
  </si>
  <si>
    <t xml:space="preserve">Pleno ติวานนท์ - แจ้งวัฒนะ</t>
  </si>
  <si>
    <t xml:space="preserve">Pleno ปิ่นเกล้า - วงแหวน</t>
  </si>
  <si>
    <t xml:space="preserve">Pleno เพชรเกษม 81</t>
  </si>
  <si>
    <t xml:space="preserve">Pleno สุขสวัสดิ์ 66</t>
  </si>
  <si>
    <t xml:space="preserve">Pleno ราชพฤกษ์ - พระราม 5</t>
  </si>
  <si>
    <t xml:space="preserve">Grande Pleno ท่าน้ำนนท์</t>
  </si>
  <si>
    <t xml:space="preserve">Life สุขุมวิท 48</t>
  </si>
  <si>
    <t xml:space="preserve">Grande Pleno รัตนาธิเบศร์</t>
  </si>
  <si>
    <t xml:space="preserve">The City บางใหญ่</t>
  </si>
  <si>
    <t xml:space="preserve">The City ประชาอุทิศ</t>
  </si>
  <si>
    <t xml:space="preserve">BKM Classe Ekkamai - Ramintra</t>
  </si>
  <si>
    <t xml:space="preserve">Centro พระราม 9 - มอเตอร์เวย์</t>
  </si>
  <si>
    <t xml:space="preserve">Pleno สุขสวัสดิ์</t>
  </si>
  <si>
    <t xml:space="preserve">บ้านกลางเมือง สาทร-สุขสวัสดิ์</t>
  </si>
  <si>
    <t xml:space="preserve">Pleno ราชพฤกษ์</t>
  </si>
  <si>
    <t xml:space="preserve">The City สาทร-สุขสวัสดิ์</t>
  </si>
  <si>
    <t xml:space="preserve">The City ปิ่นเกล้า-บรม</t>
  </si>
  <si>
    <t xml:space="preserve">The Palazzo Srinakarin</t>
  </si>
  <si>
    <t xml:space="preserve">Pleno พระราม 5-ปิ่นเกล้า</t>
  </si>
  <si>
    <t xml:space="preserve">บริษัท เดอะแวลู พร็อพเพอร์ตี้ ดีเวลลอปเม้นท์ จำกัด (สำนักงานใหญ่)</t>
  </si>
  <si>
    <t xml:space="preserve">THE VALUE PROPERTY DEVELOPMENT CO.,LTD. (Head Office)</t>
  </si>
  <si>
    <t xml:space="preserve">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</t>
  </si>
  <si>
    <t xml:space="preserve">170/57 Ocean Tower 1, 18 Floor, Soi Sukhumvit 16 (Sammitr), Ratchadapisak Road, Klongtoey, Bangkok 10110</t>
  </si>
  <si>
    <t xml:space="preserve">0105545118836</t>
  </si>
  <si>
    <t xml:space="preserve">Pleno ปิ่นเกล้า - ราชพฤกษ์</t>
  </si>
  <si>
    <t xml:space="preserve">Pleno รัตนาธิเบศร์ - ชัยพฤกษ์</t>
  </si>
  <si>
    <t xml:space="preserve">COO พิษณุโลก</t>
  </si>
  <si>
    <t xml:space="preserve">Pleno พหลโยธิน-รังสิต</t>
  </si>
  <si>
    <t xml:space="preserve">Pleno รังสิตคลอง 4 - วงแหวน</t>
  </si>
  <si>
    <t xml:space="preserve">Pleno เวสต์เกต</t>
  </si>
  <si>
    <t xml:space="preserve">Pleno พหลโยธิน-วัชรพล 2</t>
  </si>
  <si>
    <t xml:space="preserve">Grande Pleno ราชพฤกษ์</t>
  </si>
  <si>
    <t xml:space="preserve">CENTRO วงแหวน-จตุโชติ</t>
  </si>
  <si>
    <t xml:space="preserve">Pleno บางใหญ่ 2</t>
  </si>
  <si>
    <t xml:space="preserve">THE SONNE ศรีนครินทร์-บางนา</t>
  </si>
  <si>
    <t xml:space="preserve">Pleno ราชพฤกษ์-แจ้งวัฒนะ</t>
  </si>
  <si>
    <t xml:space="preserve">บ้านกลางเมือง พิบูลสงคราม &gt;&gt;บ้านกลางเมือง รัชดา - วงศ์สว่าง</t>
  </si>
  <si>
    <t xml:space="preserve">Aspire งามวงศ์วาน</t>
  </si>
  <si>
    <t xml:space="preserve">Aspire รัตนาธิเบศร์ 2 (เฟส A)</t>
  </si>
  <si>
    <t xml:space="preserve">Aspire อุดรธานี</t>
  </si>
  <si>
    <t xml:space="preserve">Pleno สุขุมวิท - บางนา</t>
  </si>
  <si>
    <t xml:space="preserve">บ้านกลางเมือง ราชพฤกษ์-รัตนาธิเบศร์</t>
  </si>
  <si>
    <t xml:space="preserve">Pleno ชัยพฤกษ์-แจ้งวัฒนะ 2</t>
  </si>
  <si>
    <t xml:space="preserve">Pleno ดอนเมือง-สรงประภา</t>
  </si>
  <si>
    <t xml:space="preserve">Pleno ลาดพร้าว-เสรีไทย</t>
  </si>
  <si>
    <t xml:space="preserve">Grande Pleno วัชรพล-สุขาภิบาล5</t>
  </si>
  <si>
    <t xml:space="preserve">Pleno สาทร-สุขสวัสดิ์</t>
  </si>
  <si>
    <t xml:space="preserve">CENTRO บางนา-วงแหวน</t>
  </si>
  <si>
    <t xml:space="preserve">THE CITY เอกมัย-ลาดพร้าว</t>
  </si>
  <si>
    <t xml:space="preserve">The City งามวงศ์วาน</t>
  </si>
  <si>
    <t xml:space="preserve">บริษัท เอเชี่ยน พร็อพเพอร์ตี้ จำกัด (สำนักงานใหญ่)</t>
  </si>
  <si>
    <t xml:space="preserve">Asian Property Co., Ltd.</t>
  </si>
  <si>
    <t xml:space="preserve">0105553079178</t>
  </si>
  <si>
    <t xml:space="preserve">Pleno วงแหวน - รามอินทรา</t>
  </si>
  <si>
    <t xml:space="preserve">Aspire เอราวัณ (Tower A)</t>
  </si>
  <si>
    <t xml:space="preserve">District ลาดพร้าว (เฟส 1)</t>
  </si>
  <si>
    <t xml:space="preserve">Centro พหล-วิภาวดี</t>
  </si>
  <si>
    <t xml:space="preserve">Pleno ปิ่นเกล้า-จรัญฯ</t>
  </si>
  <si>
    <t xml:space="preserve">Pleno สุขสวัสดิ์ 70</t>
  </si>
  <si>
    <t xml:space="preserve">Grande Pleno สุขสวัสดิ์-พระราม 3</t>
  </si>
  <si>
    <t xml:space="preserve">Pleno บางนา-อ่อนนุช</t>
  </si>
  <si>
    <t xml:space="preserve">Pleno ชัยพฤกษ์</t>
  </si>
  <si>
    <t xml:space="preserve">Centro อ่อนนุช-สุวรรณภูมิ</t>
  </si>
  <si>
    <t xml:space="preserve">Centro พระราม2-พุทธบูชา</t>
  </si>
  <si>
    <t xml:space="preserve">BKM The Edition สุขสวัสดิ์-พระราม3</t>
  </si>
  <si>
    <t xml:space="preserve">Pleno ศรีนครินทร์</t>
  </si>
  <si>
    <t xml:space="preserve">Aspire ลาดพร้าว 113</t>
  </si>
  <si>
    <t xml:space="preserve">Aspire เอราวัณ (Tower B)</t>
  </si>
  <si>
    <t xml:space="preserve">Aspire วุฒากาศ</t>
  </si>
  <si>
    <t xml:space="preserve">Centro บางนา-กม. 7</t>
  </si>
  <si>
    <t xml:space="preserve">บ้านกลางเมือง วัชรพล</t>
  </si>
  <si>
    <t xml:space="preserve">บ้านกลางเมือง ราชพฤกษ์</t>
  </si>
  <si>
    <t xml:space="preserve">BKM The Era ปิ่นเกล้า-จรัญฯ</t>
  </si>
  <si>
    <t xml:space="preserve">BKM The Edition พระราม9 - พัฒนาการ</t>
  </si>
  <si>
    <t xml:space="preserve">Pleno ราชพฤกษ์-รัตนาธิเบศร์</t>
  </si>
  <si>
    <t xml:space="preserve">Pleno รามอินทรา</t>
  </si>
  <si>
    <t xml:space="preserve">Aspire อโศก - รัชดา</t>
  </si>
  <si>
    <t xml:space="preserve">Grande Pleno พหลโยธิน-รังสิต</t>
  </si>
  <si>
    <t xml:space="preserve">Centro สะพานมหาเจษฎาบดินทร์ฯ</t>
  </si>
  <si>
    <t xml:space="preserve">The City สะพานมหาเจษฏาบดินทร์ฯ</t>
  </si>
  <si>
    <t xml:space="preserve">Rhythm สาทร -นราธิวาส</t>
  </si>
  <si>
    <t xml:space="preserve">บริษัท เอเชี่ยน พร็อพเพอร์ตี้ (2011) จำกัด (สำนักงานใหญ่)</t>
  </si>
  <si>
    <t xml:space="preserve">Asian Property (2011) Co., Ltd.</t>
  </si>
  <si>
    <t xml:space="preserve">0105554149013</t>
  </si>
  <si>
    <t xml:space="preserve">Rhythm สุขุมวิท 42</t>
  </si>
  <si>
    <t xml:space="preserve">บริษัท เอเชี่ยน พร็อพเพอร์ตี้ (2013) จำกัด (สำนักงานใหญ่)</t>
  </si>
  <si>
    <t xml:space="preserve">Asian Property (2013) Co., Ltd.</t>
  </si>
  <si>
    <t xml:space="preserve">0105556002672</t>
  </si>
  <si>
    <t xml:space="preserve">Aspire สาทร - ราชพฤกษ์</t>
  </si>
  <si>
    <t xml:space="preserve">บริษัท เอเชี่ยน พร็อพเพอร์ตี้ (2014) จำกัด (สำนักงานใหญ่)</t>
  </si>
  <si>
    <t xml:space="preserve">Asian Property (2014) Co., Ltd.</t>
  </si>
  <si>
    <t xml:space="preserve">0105557175490</t>
  </si>
  <si>
    <t xml:space="preserve">Rhythm สุขุมวิท 36-38</t>
  </si>
  <si>
    <t xml:space="preserve">บริษัท เอพี เอ็มอี (สุขุมวิท) จำกัด (สำนักงานใหญ่) </t>
  </si>
  <si>
    <t xml:space="preserve">AP ME (SUKHUMVIT) CO., Ltd.</t>
  </si>
  <si>
    <t xml:space="preserve">0105550124504</t>
  </si>
  <si>
    <t xml:space="preserve">Aspire รัชดา - วงศ์สว่าง</t>
  </si>
  <si>
    <t xml:space="preserve">บริษัท เอพี เอ็มอี (กรุงเทพ) จำกัด (สำนักงานใหญ่) </t>
  </si>
  <si>
    <t xml:space="preserve">AP ME (KRUNGTHEP) CO., LTD</t>
  </si>
  <si>
    <t xml:space="preserve">0105556162238</t>
  </si>
  <si>
    <t xml:space="preserve">Rhythm อโศก II</t>
  </si>
  <si>
    <t xml:space="preserve">บริษัท เอพี เอ็มอี (อโศก) จำกัด (สำนักงานใหญ่) </t>
  </si>
  <si>
    <t xml:space="preserve">AP ME (ASOKE) CO., LTD</t>
  </si>
  <si>
    <t xml:space="preserve">0105556162246</t>
  </si>
  <si>
    <t xml:space="preserve">Aspire สาทร - ท่าพระ</t>
  </si>
  <si>
    <t xml:space="preserve">บริษัท พรีเมี่ยม เรสซิเดนซ์ จำกัด (สำนักงานใหญ่) </t>
  </si>
  <si>
    <t xml:space="preserve">Premium Residence Co., Ltd.</t>
  </si>
  <si>
    <t xml:space="preserve">0105556162301</t>
  </si>
  <si>
    <t xml:space="preserve">Life อโศก</t>
  </si>
  <si>
    <t xml:space="preserve">บริษัท เอพี (เพชรบุรี) จำกัด (สำนักงานใหญ่) </t>
  </si>
  <si>
    <t xml:space="preserve">AP (Phetchaburi) Co., Ltd.</t>
  </si>
  <si>
    <t xml:space="preserve">0105557109039</t>
  </si>
  <si>
    <t xml:space="preserve">Rhythm รางน้ำ</t>
  </si>
  <si>
    <t xml:space="preserve">บริษัท เอเชี่ยน พร็อพเพอร์ตี้ (2015) จำกัด (สำนักงานใหญ่)</t>
  </si>
  <si>
    <t xml:space="preserve">Asian Property (2015) Co., Ltd.</t>
  </si>
  <si>
    <t xml:space="preserve">0105558021291</t>
  </si>
  <si>
    <t xml:space="preserve">Life ปิ่นเกล้า</t>
  </si>
  <si>
    <t xml:space="preserve">บริษัท เอพี เอ็มอี 1 จำกัด (สำนักงานใหญ่) </t>
  </si>
  <si>
    <t xml:space="preserve">AP ME 1 Co., Ltd.</t>
  </si>
  <si>
    <t xml:space="preserve">0105558049218</t>
  </si>
  <si>
    <t xml:space="preserve">Pleno เพชรเกษม 112</t>
  </si>
  <si>
    <t xml:space="preserve">บริษัท เอเชี่ยน พร็อพเพอร์ตี้ (กรุงเทพ) จำกัด (สำนักงานใหญ่)</t>
  </si>
  <si>
    <t xml:space="preserve">Asian Property (Krungthep) Co., Ltd.</t>
  </si>
  <si>
    <t xml:space="preserve">0105537054875</t>
  </si>
  <si>
    <t xml:space="preserve">บ้านกลางเมือง ราชพฤกษ์-พระราม5</t>
  </si>
  <si>
    <t xml:space="preserve">The City บางนา-กม. 7</t>
  </si>
  <si>
    <t xml:space="preserve">บ้านกลางเมือง พระราม9 - กรุงเทพกรีฑา</t>
  </si>
  <si>
    <t xml:space="preserve">The City ราชพฤกษ์-สวนผัก</t>
  </si>
  <si>
    <t xml:space="preserve">บ้านกลางเมือง รามอินทรา</t>
  </si>
  <si>
    <t xml:space="preserve">Pleno รามอินทรา-วงแหวน</t>
  </si>
  <si>
    <t xml:space="preserve">บ้านกลางเมือง รามอินทรา-วัชรพล</t>
  </si>
  <si>
    <t xml:space="preserve">Centro รามอินทรา-จตุโชติ</t>
  </si>
  <si>
    <t xml:space="preserve">Pleno พระราม 9-กรุงเทพกรีฑา</t>
  </si>
  <si>
    <t xml:space="preserve">บ้านกลางเมือง The Edition พระราม9-กรุงเทพกรีฑา</t>
  </si>
  <si>
    <t xml:space="preserve">VITTORIO</t>
  </si>
  <si>
    <t xml:space="preserve">บริษัท เอเชี่ยน พร็อพเพอร์ตี้ (2012) จำกัด (สำนักงานใหญ่)</t>
  </si>
  <si>
    <t xml:space="preserve">Asian Property (2012) Co., Ltd.</t>
  </si>
  <si>
    <t xml:space="preserve">0105555003110</t>
  </si>
  <si>
    <t xml:space="preserve">Bangkok CitiSmart Co., Ltd.</t>
  </si>
  <si>
    <t xml:space="preserve">บริษัท กรุงเทพ ซิตี้สมาร์ท จำกัด (สำนักงานใหญ่) </t>
  </si>
  <si>
    <t xml:space="preserve">เลขที่ 170/48 อาคารโอเชี่ยนทาวเวอร์ 1 ชั้น 15 ถ.รัชดาภิเษกตัดใหม่ 
แขวงคลองเตย เขตคลองเตย กรุงเทพฯ 10110</t>
  </si>
  <si>
    <t xml:space="preserve">170/48 Ocean Tower 1 Building., 15th Floor, New Ratchadapisek Road, Klongtoey Sub-district, Klongtoey District, Bangkok 10110</t>
  </si>
  <si>
    <t xml:space="preserve">0105548123024</t>
  </si>
  <si>
    <t xml:space="preserve">บ้านกลางเมือง พระราม 9 - อ่อนนุช</t>
  </si>
  <si>
    <t xml:space="preserve">บริษัท ไทยบิ๊กเบลลี่ จำกัด (สำนักงานใหญ่) </t>
  </si>
  <si>
    <t xml:space="preserve">Thai Bigbelly Co., Ltd.</t>
  </si>
  <si>
    <t xml:space="preserve">เลขที่ 170/64,66 อาคารโอเชี่ยนทาวเวอร์ 1 ชั้น 21 ถ.รัชดาภิเษกตัดใหม่ 
แขวงคลองเตย เขตคลองเตย กรุงเทพฯ 10110</t>
  </si>
  <si>
    <t xml:space="preserve">0105556036810</t>
  </si>
  <si>
    <t xml:space="preserve">Life ๑ Wireless</t>
  </si>
  <si>
    <t xml:space="preserve">บริษัท เอพี เอ็มอี 2 จำกัด (สำนักงานใหญ่) </t>
  </si>
  <si>
    <t xml:space="preserve">AP ME 2 Co., Ltd.</t>
  </si>
  <si>
    <t xml:space="preserve">0105558067640</t>
  </si>
  <si>
    <t xml:space="preserve">Rhythm Ekkamai</t>
  </si>
  <si>
    <t xml:space="preserve">บริษัท เอพี (เอกมัย) จำกัด (สำนักงานใหญ่) </t>
  </si>
  <si>
    <t xml:space="preserve">AP (Ekkamai) Co., Ltd.</t>
  </si>
  <si>
    <t xml:space="preserve">0105557063691</t>
  </si>
  <si>
    <t xml:space="preserve">Rhythm Ekkamai Estate</t>
  </si>
  <si>
    <t xml:space="preserve">บริษัท เอพี เอ็มอี 14 จำกัด (สำนักงานใหญ่) </t>
  </si>
  <si>
    <t xml:space="preserve">AP ME 14 Co., Ltd.</t>
  </si>
  <si>
    <t xml:space="preserve">0105561085688</t>
  </si>
  <si>
    <t xml:space="preserve">AG01</t>
  </si>
  <si>
    <t xml:space="preserve">AG0001</t>
  </si>
  <si>
    <t xml:space="preserve">Life Ladprao</t>
  </si>
  <si>
    <t xml:space="preserve">บริษัท เอพี (รัชโยธิน) จำกัด (สำนักงานใหญ่) </t>
  </si>
  <si>
    <t xml:space="preserve">AP (Ratchayothin) Co., Ltd.</t>
  </si>
  <si>
    <t xml:space="preserve">0105557183409</t>
  </si>
  <si>
    <t xml:space="preserve">Life อโศก - พระราม 9</t>
  </si>
  <si>
    <t xml:space="preserve">บริษัท เอพี เอ็มอี 3 จำกัด (สำนักงานใหญ่) </t>
  </si>
  <si>
    <t xml:space="preserve">AP ME 3 Co., Ltd.</t>
  </si>
  <si>
    <t xml:space="preserve">0105558109199</t>
  </si>
  <si>
    <t xml:space="preserve">Life Asoke Hype</t>
  </si>
  <si>
    <t xml:space="preserve">S002</t>
  </si>
  <si>
    <t xml:space="preserve">S0002</t>
  </si>
  <si>
    <t xml:space="preserve">Life สุขุมวิท 62</t>
  </si>
  <si>
    <t xml:space="preserve">บริษัท เอพี เอ็มอี 5 จำกัด (สำนักงานใหญ่) </t>
  </si>
  <si>
    <t xml:space="preserve">AP ME 5 Co., Ltd.</t>
  </si>
  <si>
    <t xml:space="preserve">0105559070024</t>
  </si>
  <si>
    <t xml:space="preserve">Life Ladprao Valley</t>
  </si>
  <si>
    <t xml:space="preserve">บริษัท เอพี เอ็มอี 4 จำกัด (สำนักงานใหญ่) </t>
  </si>
  <si>
    <t xml:space="preserve">AP ME 4 Co., Ltd.</t>
  </si>
  <si>
    <t xml:space="preserve">0105559070016</t>
  </si>
  <si>
    <t xml:space="preserve">U001</t>
  </si>
  <si>
    <t xml:space="preserve">U0001</t>
  </si>
  <si>
    <t xml:space="preserve">บ้านกลางเมือง The Edition บางนา-วงแหวน</t>
  </si>
  <si>
    <t xml:space="preserve">บริษัท เอเชี่ยน พร็อพเพอร์ตี้ (2017) จำกัด (สำนักงานใหญ่)</t>
  </si>
  <si>
    <t xml:space="preserve">Asian Property (2017) Co., Ltd.</t>
  </si>
  <si>
    <t xml:space="preserve">0105560174822</t>
  </si>
  <si>
    <t xml:space="preserve">บ้านกลางเมือง บางนา - วงแหวน</t>
  </si>
  <si>
    <t xml:space="preserve">AC03, 60027</t>
  </si>
  <si>
    <t xml:space="preserve">AC0003</t>
  </si>
  <si>
    <t xml:space="preserve">บ้านกลางเมือง The Edition บางนา-วงแหวน (Business District)</t>
  </si>
  <si>
    <t xml:space="preserve">Pleno บางนา-วงแหวน</t>
  </si>
  <si>
    <t xml:space="preserve">AC04</t>
  </si>
  <si>
    <t xml:space="preserve">AC0004</t>
  </si>
  <si>
    <t xml:space="preserve">Aspire สุขุมวิท-อ่อนนุช</t>
  </si>
  <si>
    <t xml:space="preserve">บริษัท เอเชี่ยน พร็อพเพอร์ตี้ (2018) จำกัด (สำนักงานใหญ่)</t>
  </si>
  <si>
    <t xml:space="preserve">Asian Property (2018) Co., Ltd.</t>
  </si>
  <si>
    <t xml:space="preserve">0105560124515</t>
  </si>
  <si>
    <t xml:space="preserve">Y001</t>
  </si>
  <si>
    <t xml:space="preserve">Y0001</t>
  </si>
  <si>
    <t xml:space="preserve">The Address สยาม - ราชเทวี</t>
  </si>
  <si>
    <t xml:space="preserve">บริษัท เอพี เอ็มอี 6 จำกัด (สำนักงานใหญ่) </t>
  </si>
  <si>
    <t xml:space="preserve">AP ME 6 Co., Ltd.</t>
  </si>
  <si>
    <t xml:space="preserve">0105560124493</t>
  </si>
  <si>
    <t xml:space="preserve">X001</t>
  </si>
  <si>
    <t xml:space="preserve">X0001</t>
  </si>
  <si>
    <t xml:space="preserve">Life Sathorn Sierra</t>
  </si>
  <si>
    <t xml:space="preserve">บริษัท เอพี เอ็มอี 8 จำกัด (สำนักงานใหญ่) </t>
  </si>
  <si>
    <t xml:space="preserve">AP ME 8 Co., Ltd.</t>
  </si>
  <si>
    <t xml:space="preserve">0105560175632</t>
  </si>
  <si>
    <t xml:space="preserve">AA01</t>
  </si>
  <si>
    <t xml:space="preserve">AA0001</t>
  </si>
  <si>
    <t xml:space="preserve">CENTRO ชัยพฤกษ์ 345</t>
  </si>
  <si>
    <t xml:space="preserve">THE CITY สุขสวัสดิ์ 64</t>
  </si>
  <si>
    <t xml:space="preserve">Rhythm Charoenkrung Pavillion</t>
  </si>
  <si>
    <t xml:space="preserve">บริษัท เอพี เอ็มอี 10 จำกัด (สำนักงานใหญ่) </t>
  </si>
  <si>
    <t xml:space="preserve">AP ME 10 Co., Ltd.</t>
  </si>
  <si>
    <t xml:space="preserve">0105561049304</t>
  </si>
  <si>
    <t xml:space="preserve">AD02</t>
  </si>
  <si>
    <t xml:space="preserve">AD0002</t>
  </si>
  <si>
    <t xml:space="preserve">Pleno รามอินทรา-บางชัน สเตชั่น</t>
  </si>
  <si>
    <t xml:space="preserve">Pleno พระราม 9-กรุงเทพกรีฑา 2</t>
  </si>
  <si>
    <t xml:space="preserve">BKM The Edition สาทร-สุขสวัสดิ์</t>
  </si>
  <si>
    <t xml:space="preserve">CENTRO บางนา-กิ่งแก้ว</t>
  </si>
  <si>
    <t xml:space="preserve">District เทพารักษ์</t>
  </si>
  <si>
    <t xml:space="preserve">CENTRO ประชาอุทิศ 90</t>
  </si>
  <si>
    <t xml:space="preserve">Centro สาทร - กัลปพฤกษ์</t>
  </si>
  <si>
    <t xml:space="preserve">The City รามอินทรา2</t>
  </si>
  <si>
    <t xml:space="preserve">The City สาทร-กัลปพฤกษ์</t>
  </si>
  <si>
    <t xml:space="preserve">The City พระราม9-กรุงเทพกรีฑา</t>
  </si>
  <si>
    <t xml:space="preserve">Centro สะพานมหาเจษฎาบดินทร์ฯ 2</t>
  </si>
  <si>
    <t xml:space="preserve">Pleno ติวานนท์</t>
  </si>
  <si>
    <t xml:space="preserve">Pleno รัตนาธิเบศร์-บางใหญ่</t>
  </si>
  <si>
    <t xml:space="preserve">Pleno สุขสวัสดิ์-ประชาอุทิศ</t>
  </si>
  <si>
    <t xml:space="preserve">Pleno สุขสวัสดิ์ 30 โครงการ 2</t>
  </si>
  <si>
    <t xml:space="preserve">Pleno ศรีนครินทร์-เทพารักษ์</t>
  </si>
  <si>
    <t xml:space="preserve">C133</t>
  </si>
  <si>
    <t xml:space="preserve">CENTRO พระราม 9 - กรุงเทพกรีฑา</t>
  </si>
  <si>
    <t xml:space="preserve">Centro ราชพฤกษ์ - สวนผัก 2</t>
  </si>
  <si>
    <t xml:space="preserve">The City พระราม 9 - รามคำแหง</t>
  </si>
  <si>
    <t xml:space="preserve">The City พระราม2 - พุทธบูชา</t>
  </si>
  <si>
    <t xml:space="preserve">The City สาทร - สุขสวัสดิ์ 2</t>
  </si>
  <si>
    <t xml:space="preserve">The Palazzo ปิ่นเกล้า</t>
  </si>
  <si>
    <t xml:space="preserve">บ้านกลางเมือง ราชพฤกษ์-สาทร</t>
  </si>
  <si>
    <t xml:space="preserve">บ้านกลางเมือง พหลโยธิน-รามอินทรา</t>
  </si>
  <si>
    <t xml:space="preserve">บ้านกลางเมือง ศรีนครินทร์-อ่อนนุช</t>
  </si>
  <si>
    <t xml:space="preserve">บ้านกลางเมือง รามอินทรา 83 สเตชั่น</t>
  </si>
  <si>
    <t xml:space="preserve">Pleno รังสิต</t>
  </si>
  <si>
    <t xml:space="preserve">Grande Pleno รามอินทรา-วงแหวน</t>
  </si>
  <si>
    <t xml:space="preserve">Pleno รามอินทรา-จตุโชติ</t>
  </si>
  <si>
    <t xml:space="preserve">อภิทาวน์ เชียงราย</t>
  </si>
  <si>
    <t xml:space="preserve">อภิทาวน์ อยุธยา</t>
  </si>
  <si>
    <t xml:space="preserve">อภิทาวน์ ระยอง</t>
  </si>
  <si>
    <t xml:space="preserve">อภิทาวน์ ขอนแก่น</t>
  </si>
  <si>
    <t xml:space="preserve">อภิทาวน์ นครศรีธรรมราช</t>
  </si>
  <si>
    <t xml:space="preserve">อภิทาวน์ ฉะเชิงเทรา</t>
  </si>
  <si>
    <t xml:space="preserve">อภิทาวน์ อุดรธานี</t>
  </si>
  <si>
    <t xml:space="preserve">อภิทาวน์ อุบลราชธานี</t>
  </si>
  <si>
    <t xml:space="preserve">อภิทาวน์ นครปฐม</t>
  </si>
  <si>
    <t xml:space="preserve">THE CITY สุขุมวิท-อ่อนนุช</t>
  </si>
  <si>
    <t xml:space="preserve">THE CITY บรมราชชนนี-ทวีวัฒนา</t>
  </si>
  <si>
    <t xml:space="preserve">Aspire เอราวัณ ไพร์ม</t>
  </si>
  <si>
    <t xml:space="preserve">CENTRO ราชพฤกษ์ - แจ้งวัฒนะ</t>
  </si>
  <si>
    <t xml:space="preserve">CENTRO ราชพฤกษ์ 2</t>
  </si>
  <si>
    <t xml:space="preserve">Centro รังสิตคลอง 4 - วงแหวน</t>
  </si>
  <si>
    <t xml:space="preserve">THE CITY รัชดาฯ-วงศ์สว่าง</t>
  </si>
  <si>
    <t xml:space="preserve">CENTRO บางใหญ่</t>
  </si>
  <si>
    <t xml:space="preserve">The City ราชพฤกษ์ - ปิ่นเกล้า</t>
  </si>
  <si>
    <t xml:space="preserve">CENTRO พหลฯ - วิภาวดี 2</t>
  </si>
  <si>
    <t xml:space="preserve">CENTRO ราชพฤกษ์ - สวนผัก</t>
  </si>
  <si>
    <t xml:space="preserve">CENTRO ราชพฤกษ์ - สวนผัก 3</t>
  </si>
  <si>
    <t xml:space="preserve">Full Funnel CD2</t>
  </si>
  <si>
    <t xml:space="preserve">District รามอินทรา-จตุโชติ</t>
  </si>
  <si>
    <t xml:space="preserve">CENTRO วิภาวดี</t>
  </si>
  <si>
    <t xml:space="preserve">THE CITY ปิ่นเกล้า-บรมฯ 2</t>
  </si>
  <si>
    <t xml:space="preserve">THE CITY รามอินทรา-วงแหวน</t>
  </si>
  <si>
    <t xml:space="preserve">CENTRO ราชพฤกษ์ 345</t>
  </si>
  <si>
    <t xml:space="preserve">Life พระราม 4 - อโศก</t>
  </si>
  <si>
    <t xml:space="preserve">บริษัท เอพี เอ็มอี 12 จำกัด (สำนักงานใหญ่)</t>
  </si>
  <si>
    <t xml:space="preserve">AP ME 12 Co., Ltd.</t>
  </si>
  <si>
    <t xml:space="preserve">0105561049452</t>
  </si>
  <si>
    <t xml:space="preserve">AF01</t>
  </si>
  <si>
    <t xml:space="preserve">AF0001</t>
  </si>
  <si>
    <t xml:space="preserve">บ้านกลางกรุง สาธุประดิษฐ์ - พระราม 3</t>
  </si>
  <si>
    <t xml:space="preserve">Aspire Rattanathibet Weston</t>
  </si>
  <si>
    <t xml:space="preserve">Pleno วิภาวดี-ดอนเมือง</t>
  </si>
  <si>
    <t xml:space="preserve">C136</t>
  </si>
  <si>
    <t xml:space="preserve">Grande Pleno พหลโยธิน-วิภาวดี</t>
  </si>
  <si>
    <t xml:space="preserve">C134</t>
  </si>
  <si>
    <t xml:space="preserve">Pleno ราชพฤกษ์-สาทร</t>
  </si>
  <si>
    <t xml:space="preserve">บ้านกลางเมือง The Edition พหลโยธิน-รามอินทรา</t>
  </si>
  <si>
    <t xml:space="preserve">บ้านกลางเมือง สุขุมวิท-อ่อนนุช</t>
  </si>
  <si>
    <t xml:space="preserve">บริษัท เอเชี่ยน พร็อพเพอร์ตี้ (2024) จำกัด (สำนักงานใหญ่)</t>
  </si>
  <si>
    <t xml:space="preserve">170/57 อาคารโอเชี่ยนทาวเวอร์ 1 ชั้นที่ 18 ซอยสุขุมวิท 16 (สามมิตร) 
ถนนรัชดาภิเษกตัดใหม่ แขวงคลองเตย เขตคลองเตย กรุงเทพมหานคร 10110</t>
  </si>
  <si>
    <t xml:space="preserve">0105559106240</t>
  </si>
  <si>
    <t xml:space="preserve">C204</t>
  </si>
  <si>
    <t xml:space="preserve">WA0001</t>
  </si>
  <si>
    <t xml:space="preserve">Pleno บางนา-อ่อนนุช 2</t>
  </si>
  <si>
    <t xml:space="preserve">Grande Pleno บางนา-อ่อนนุช</t>
  </si>
  <si>
    <t xml:space="preserve">Pleno ปิ่นเกล้า-จรัญ 2</t>
  </si>
  <si>
    <t xml:space="preserve">Pleno ปิ่นเกล้า-จรัญ 3</t>
  </si>
  <si>
    <t xml:space="preserve">CENTRO บางนา</t>
  </si>
  <si>
    <t xml:space="preserve">CENTRO ปิ่นเกล้า </t>
  </si>
  <si>
    <t xml:space="preserve">CENTRO รามอินทรา-จตุโชติ 2 </t>
  </si>
  <si>
    <t xml:space="preserve">CENTRO บางนา-ศรีนครินทร์</t>
  </si>
  <si>
    <t xml:space="preserve">CENTRO ดอนเมือง - แจ้งวัฒนะ</t>
  </si>
  <si>
    <t xml:space="preserve">Aspire ปิ่นเกล้า - อรุณ อมรินทร์</t>
  </si>
  <si>
    <t xml:space="preserve">ASIAN PROPERTY (KRUNGTHEP) CO.,LTD.</t>
  </si>
  <si>
    <t xml:space="preserve">170/57 18th Fl. Ocean Tower 1, Ratchadapisek Rd., Khongtoey Bangkok 10110</t>
  </si>
  <si>
    <t xml:space="preserve">Aspire Ratchayothin</t>
  </si>
  <si>
    <t xml:space="preserve">170/57 18th Fl. Ocean Tower 1, Ratchadapisek Rd., Khongtoey Bangkok 10110.</t>
  </si>
  <si>
    <t xml:space="preserve">Pleno Town บางนา</t>
  </si>
  <si>
    <t xml:space="preserve">บ้านกลางเมือง สุขสวัสดิ์ - พระราม 3</t>
  </si>
  <si>
    <t xml:space="preserve">บ้านกลางเมือง สาทร - กัลปพฤกษ์</t>
  </si>
  <si>
    <t xml:space="preserve">Pleno เพชรเกษม - สาย 4</t>
  </si>
  <si>
    <t xml:space="preserve">Grande Pleno ศาลายา-บรมราชชนนี</t>
  </si>
  <si>
    <t xml:space="preserve">Aspire สุขุมวิท - พระราม 4</t>
  </si>
  <si>
    <t xml:space="preserve">บริษัท เอพี เอ็มอี 15 จำกัด (สำนักงานใหญ่)</t>
  </si>
  <si>
    <t xml:space="preserve">AP ME 15 Co.,Ltd.</t>
  </si>
  <si>
    <t xml:space="preserve">0105561212841</t>
  </si>
  <si>
    <t xml:space="preserve">AH01</t>
  </si>
  <si>
    <t xml:space="preserve">AH0001</t>
  </si>
  <si>
    <t xml:space="preserve">PLENO TOWN ปิ่นเกล้า - สาย 5</t>
  </si>
  <si>
    <t xml:space="preserve">Asian Property Co., Ltd. (Head Office)</t>
  </si>
  <si>
    <t xml:space="preserve">PLENO TOWN พระราม 2</t>
  </si>
  <si>
    <t xml:space="preserve">PLENO TOWN พหลโยธิน-ลำลูกกา</t>
  </si>
  <si>
    <t xml:space="preserve">PLENO TOWN เวสต์เกต</t>
  </si>
  <si>
    <t xml:space="preserve">PLENO ติวานนท์-แจ้งวัฒนะ 2</t>
  </si>
  <si>
    <t xml:space="preserve">PLENO สุขสวัสดิ์-ประชาอุทิศ 76</t>
  </si>
  <si>
    <t xml:space="preserve">C144</t>
  </si>
  <si>
    <t xml:space="preserve">CENTRO ชัยพฤกษ์ - แจ้งวัฒนะ 2</t>
  </si>
  <si>
    <t xml:space="preserve">CENTRO ชัยพฤกษ์ - แจ้งวัฒนะ 3</t>
  </si>
  <si>
    <t xml:space="preserve">บ้านกลางเมือง วิภาวดี-แจ้งวัฒนะ</t>
  </si>
  <si>
    <t xml:space="preserve">บ้านกลางเมือง The Edition ปิ่นเกล้า - บรมฯ</t>
  </si>
  <si>
    <t xml:space="preserve">Pleno พหลโยธิน - สายไหม 2</t>
  </si>
  <si>
    <t xml:space="preserve">Pleno สุขุมวิท - บางนา 2</t>
  </si>
  <si>
    <t xml:space="preserve">THE CITY ติวานนท์ - งามวงศ์วาน</t>
  </si>
  <si>
    <t xml:space="preserve">Pleno Town สุขุมวิท - เทพารักษ์</t>
  </si>
  <si>
    <t xml:space="preserve">C145</t>
  </si>
  <si>
    <t xml:space="preserve">CENTRO สะพานมหาเจษฎาบดินทร์ฯ 3</t>
  </si>
  <si>
    <t xml:space="preserve">THE CITY รามอินทรา 3</t>
  </si>
  <si>
    <t xml:space="preserve">CENTRO พหลฯ-วิภาวดี 3</t>
  </si>
  <si>
    <t xml:space="preserve">BKM Classe Sukhumvit 77</t>
  </si>
  <si>
    <t xml:space="preserve">Y006, 60033</t>
  </si>
  <si>
    <t xml:space="preserve">Y0006</t>
  </si>
  <si>
    <t xml:space="preserve">บ้านกลางเมือง สาทร - เพชรเกษม</t>
  </si>
  <si>
    <t xml:space="preserve">Grande Pleno พหลโยธิน-วิภาวดี2</t>
  </si>
  <si>
    <t xml:space="preserve">บ้านกลางเมือง ลาดพร้าว 101 สเตชั่น</t>
  </si>
  <si>
    <t xml:space="preserve">บ้านกลางเมือง พหลโยธิน - วิภาวดี</t>
  </si>
  <si>
    <t xml:space="preserve">CENTRO บางบอน</t>
  </si>
  <si>
    <t xml:space="preserve">CENTRO เพชรเกษม 69</t>
  </si>
  <si>
    <t xml:space="preserve">THE CITY บางนา</t>
  </si>
  <si>
    <t xml:space="preserve">The City บางนา 2</t>
  </si>
  <si>
    <t xml:space="preserve">The City บางนา 3</t>
  </si>
  <si>
    <t xml:space="preserve">CENTRO พระราม 9 - มอเตอร์เวย์ 2</t>
  </si>
  <si>
    <t xml:space="preserve">Pleno Town ลำลูกกา - คลอง 5</t>
  </si>
  <si>
    <t xml:space="preserve">Grande Pleno เมกา บางนา</t>
  </si>
  <si>
    <t xml:space="preserve">Aspire อ่อนนุช สเตชั่น</t>
  </si>
  <si>
    <t xml:space="preserve">บริษัท เอพี เอ็มอี 18 จำกัด (สำนักงานใหญ่)</t>
  </si>
  <si>
    <t xml:space="preserve">AP ME 18 Co.,Ltd. (Head Office)</t>
  </si>
  <si>
    <t xml:space="preserve">170/57 อาคารโอเชี่ยนทาวเวอร์ 1 ชั้น 18 ถนนรัชดาภิเษกตัดใหม่ 
แขวงคลองเตย เขตคลองเตย กรุงเทพฯ 10110</t>
  </si>
  <si>
    <t xml:space="preserve">170/57, 18TH FL., Ocean Tower 1, New Ratchadaphisek Road Khwaeng Khlong Toei, Khlong Toei, Bangkok 10110</t>
  </si>
  <si>
    <t xml:space="preserve">0105562036818</t>
  </si>
  <si>
    <t xml:space="preserve">AK02</t>
  </si>
  <si>
    <t xml:space="preserve">AK0002</t>
  </si>
  <si>
    <t xml:space="preserve">Pleno Town ราชพฤกษ์-345</t>
  </si>
  <si>
    <t xml:space="preserve">THE CITY พระราม 5 - นครอินทร์</t>
  </si>
  <si>
    <t xml:space="preserve">Moden พระราม 2</t>
  </si>
  <si>
    <t xml:space="preserve">Moden บางนา-เทพารักษ์</t>
  </si>
  <si>
    <t xml:space="preserve">THE CITY วัชรพล</t>
  </si>
  <si>
    <t xml:space="preserve">THE CITY สุขุมวิท-อ่อนนุช 2</t>
  </si>
  <si>
    <t xml:space="preserve">Moden บางนา-ศรีนครินทร์</t>
  </si>
  <si>
    <t xml:space="preserve">THE CITY ปิ่นเกล้า-บรมฯ 3</t>
  </si>
  <si>
    <t xml:space="preserve">THE CITY จรัญฯ-ปิ่นเกล้า</t>
  </si>
  <si>
    <t xml:space="preserve">Pleno บางใหญ่ - กาญจนาฯ</t>
  </si>
  <si>
    <t xml:space="preserve">C148</t>
  </si>
  <si>
    <t xml:space="preserve">WA0002</t>
  </si>
  <si>
    <t xml:space="preserve">CENTRO พระราม 5 - นครอินทร์</t>
  </si>
  <si>
    <t xml:space="preserve">Pleno บางนา-อ่อนนุช2</t>
  </si>
  <si>
    <t xml:space="preserve">Life Phahon-Ladprao</t>
  </si>
  <si>
    <t xml:space="preserve">บริษัท เอพี เอ็มอี 16 จำกัด (สำนักงานใหญ่) </t>
  </si>
  <si>
    <t xml:space="preserve">AP ME 16 Co., Ltd.</t>
  </si>
  <si>
    <t xml:space="preserve">0105562036753</t>
  </si>
  <si>
    <t xml:space="preserve">AI01</t>
  </si>
  <si>
    <t xml:space="preserve">AI0001</t>
  </si>
  <si>
    <t xml:space="preserve">THE CITY ปิ่นเกล้า-สิรินธร</t>
  </si>
  <si>
    <t xml:space="preserve">Centro รัตนาธิเบศร์ 2</t>
  </si>
  <si>
    <t xml:space="preserve">PR Corporate</t>
  </si>
  <si>
    <t xml:space="preserve">บริษัท คาร์บอนทู จำกัด (สำนักงานใหญ่)</t>
  </si>
  <si>
    <t xml:space="preserve">170/64,170/66 อาคารโอเชี่ยนทาวเวอร์ 1 ชั้น 21 ซอยสุขุมวิท 16 (สามมิตร) 
ถนนรัชดาภิเษกตัดใหม่ แขวงคลองเตย เขตคลองเตย กรุงเทพมหานคร 10110</t>
  </si>
  <si>
    <t xml:space="preserve">0105560178330</t>
  </si>
  <si>
    <t xml:space="preserve">HR</t>
  </si>
  <si>
    <t xml:space="preserve">Online MKT</t>
  </si>
  <si>
    <t xml:space="preserve">Marketing</t>
  </si>
  <si>
    <t xml:space="preserve">CD2-1</t>
  </si>
  <si>
    <t xml:space="preserve">CD2-2</t>
  </si>
  <si>
    <t xml:space="preserve">SDH</t>
  </si>
  <si>
    <t xml:space="preserve">C42213</t>
  </si>
  <si>
    <t xml:space="preserve">Pleno West</t>
  </si>
  <si>
    <t xml:space="preserve">C42227</t>
  </si>
  <si>
    <t xml:space="preserve">Pleno East</t>
  </si>
  <si>
    <t xml:space="preserve">C42225</t>
  </si>
  <si>
    <t xml:space="preserve">TH</t>
  </si>
  <si>
    <t xml:space="preserve">C42223</t>
  </si>
  <si>
    <t xml:space="preserve">BKM</t>
  </si>
  <si>
    <t xml:space="preserve">C42226</t>
  </si>
  <si>
    <t xml:space="preserve">7205C</t>
  </si>
  <si>
    <t xml:space="preserve">7205j</t>
  </si>
  <si>
    <t xml:space="preserve">7205i</t>
  </si>
  <si>
    <t xml:space="preserve">Grande Pleno ปิ่นเกล้า-จรัญฯ</t>
  </si>
  <si>
    <t xml:space="preserve">Grande Pleno ปิ่นเกล้า-กาญจนาฯ</t>
  </si>
  <si>
    <t xml:space="preserve">Grande Pleno พหลโยธิน - วัชรพล</t>
  </si>
  <si>
    <t xml:space="preserve">Grande Pleno รามอินทรา-จตุโชติ</t>
  </si>
  <si>
    <t xml:space="preserve">Grande Pleno บางใหญ่</t>
  </si>
  <si>
    <t xml:space="preserve">Pleno สายไหม 62</t>
  </si>
  <si>
    <t xml:space="preserve">C137</t>
  </si>
  <si>
    <t xml:space="preserve">Pleno ประชาอุทิศ-สุขสวัสดิ์</t>
  </si>
  <si>
    <t xml:space="preserve">CENTRO ราชพฤกษ์ 3</t>
  </si>
  <si>
    <t xml:space="preserve">Centro พระราม 5-นครอินทร์</t>
  </si>
  <si>
    <t xml:space="preserve">The City รามอินทรา-วงแหวน 2</t>
  </si>
  <si>
    <t xml:space="preserve">PLENO TOWN บ้านกล้วย - กาญจนาฯ</t>
  </si>
  <si>
    <t xml:space="preserve">PLENO TOWN ปิ่นเกล้า - กาญจนาฯ</t>
  </si>
  <si>
    <t xml:space="preserve">CENTRO พระราม 2 - พุทธบูชา 2</t>
  </si>
  <si>
    <t xml:space="preserve">บ้านกลางเมือง The Edition ศรีนครินทร์ - สวนหลวง</t>
  </si>
  <si>
    <t xml:space="preserve">บ้านกลางเมือง The Edition สุขุมวิท - อ่อนนุช</t>
  </si>
  <si>
    <t xml:space="preserve">บ้านกลางเมือง The Edition ประชาชื่น - งามวงศ์วาน</t>
  </si>
  <si>
    <t xml:space="preserve">Aspire Vibha-Victory</t>
  </si>
  <si>
    <t xml:space="preserve">Aspire Arun Prive</t>
  </si>
  <si>
    <t xml:space="preserve">RHYTHM เจริญนคร ไอคอนิค</t>
  </si>
  <si>
    <t xml:space="preserve">บริษัท เอพี เอ็มอี 20 จำกัด (สำนักงานใหญ่)</t>
  </si>
  <si>
    <t xml:space="preserve">AP ME 20 Co.,Ltd. (Head Office)</t>
  </si>
  <si>
    <t xml:space="preserve">0105562169842</t>
  </si>
  <si>
    <t xml:space="preserve">AM01</t>
  </si>
  <si>
    <t xml:space="preserve">AM0001</t>
  </si>
  <si>
    <t xml:space="preserve">Moden ราชพฤกษ์ 345</t>
  </si>
  <si>
    <t xml:space="preserve">บ้านกลางเมือง พระราม 5</t>
  </si>
  <si>
    <t xml:space="preserve">Pleno Town ลาดกระบัง - ฉลองกรุง</t>
  </si>
  <si>
    <t xml:space="preserve">อภิทาวน์ สุราษฏร์ธานี</t>
  </si>
  <si>
    <t xml:space="preserve">Centro วัชรพล 2</t>
  </si>
  <si>
    <t xml:space="preserve">MODEN รังสิตคลอง 4-วงแหวน </t>
  </si>
  <si>
    <t xml:space="preserve">PLENO TOWN รังสิตคลอง 4-วงแหวน </t>
  </si>
  <si>
    <t xml:space="preserve">Pleno Town พหลโยธิน - วิภาวดี</t>
  </si>
  <si>
    <t xml:space="preserve">C156</t>
  </si>
  <si>
    <t xml:space="preserve">Grande Pleno สุขุมวิท - บางนา</t>
  </si>
  <si>
    <t xml:space="preserve">เดอะแวลู พร็อพเพอร์ตี้ (ที่ดิน)</t>
  </si>
  <si>
    <t xml:space="preserve">บ้านกลางเมือง Classe รัชโยธิน</t>
  </si>
  <si>
    <t xml:space="preserve">บ้านกลางเมือง The Edition สุขสวัสดิ์</t>
  </si>
  <si>
    <t xml:space="preserve">The City ติวานนท์-งามวงศ์วาน 2</t>
  </si>
  <si>
    <t xml:space="preserve">Centro รามอินทรา 2</t>
  </si>
  <si>
    <t xml:space="preserve">Grande Pleno พระราม 9 - มอเตอร์เวย์</t>
  </si>
  <si>
    <t xml:space="preserve">Pleno บางใหญ่ 3</t>
  </si>
  <si>
    <t xml:space="preserve">Grande Pleno รามอินทรา - บางชัน สเตชั่น</t>
  </si>
  <si>
    <t xml:space="preserve">บ้านกลางเมือง The Edition ปิ่นเกล้า - บรมฯ 2</t>
  </si>
  <si>
    <t xml:space="preserve">บ้านกลางเมือง The Edition สาทร-สุขสวัสดิ์</t>
  </si>
  <si>
    <t xml:space="preserve">Centro ราชพฤกษ์ - ปิ่นเกล้า</t>
  </si>
  <si>
    <t xml:space="preserve">Centro ติวานนท์ - ศรีสมาน</t>
  </si>
  <si>
    <t xml:space="preserve">The City ทวีวัฒนา</t>
  </si>
  <si>
    <t xml:space="preserve">CENTRO รามอินทรา-จตุโชติ 3</t>
  </si>
  <si>
    <t xml:space="preserve">CENTRO เพชรเกษม - บางแค</t>
  </si>
  <si>
    <t xml:space="preserve">CENTRO อ่อนนุช - ลาดกระบัง</t>
  </si>
  <si>
    <t xml:space="preserve">Grande Pleno พหลโยธิน - เพิ่มสิน 28</t>
  </si>
  <si>
    <t xml:space="preserve">The City สาทร - สุขสวัสดิ์ 3</t>
  </si>
  <si>
    <t xml:space="preserve">The City กัลปพฤกษ์</t>
  </si>
  <si>
    <t xml:space="preserve">CENTRO ทวีวัฒนา</t>
  </si>
  <si>
    <t xml:space="preserve">Moden เพชรเกษม 81</t>
  </si>
  <si>
    <t xml:space="preserve">Moden รามอินทรา-หทัยราษฎร์</t>
  </si>
  <si>
    <t xml:space="preserve">Pleno Town สุขุมวิท บางปู</t>
  </si>
  <si>
    <t xml:space="preserve">MK40134</t>
  </si>
  <si>
    <t xml:space="preserve">Pleno แฟชั่นฯ - รามอินทรา</t>
  </si>
  <si>
    <t xml:space="preserve">MK70115</t>
  </si>
  <si>
    <t xml:space="preserve">Grande Pleno วัชรพล - จตุโชติ 10</t>
  </si>
  <si>
    <t xml:space="preserve">MK40136</t>
  </si>
  <si>
    <t xml:space="preserve">Event Plan 2024</t>
  </si>
  <si>
    <t xml:space="preserve">The City ปิ่นเกล้า - พรานนก</t>
  </si>
  <si>
    <t xml:space="preserve">อภิทาวน์ นครสวรรค์</t>
  </si>
  <si>
    <t xml:space="preserve">MK20051</t>
  </si>
  <si>
    <t xml:space="preserve">Aspire ห้วยขวาง</t>
  </si>
  <si>
    <t xml:space="preserve">บริษัท เอพี เอ็มอี 21 จำกัด (สำนักงานใหญ่)</t>
  </si>
  <si>
    <t xml:space="preserve">170/57 อาคารโอเชี่ยนทาวเวอร์ 1 ชั้น 18 ถนนรัชดาภิเษกตัดใหม่
แขวงคลองเตย เขตคลองเตย กรุงเทพฯ 10110</t>
  </si>
  <si>
    <t xml:space="preserve">0105566029336</t>
  </si>
  <si>
    <t xml:space="preserve">MKAP0001</t>
  </si>
  <si>
    <t xml:space="preserve">THE CITY พระราม 5 - นครอินทร์ 2</t>
  </si>
  <si>
    <t xml:space="preserve">MK70126</t>
  </si>
  <si>
    <t xml:space="preserve">MODEN ประชาอุทิศ 90</t>
  </si>
  <si>
    <t xml:space="preserve">MK70113</t>
  </si>
  <si>
    <t xml:space="preserve">Grande Pleno แจ้งวัฒนะ - ราชพฤกษ์</t>
  </si>
  <si>
    <t xml:space="preserve">MK40139</t>
  </si>
  <si>
    <t xml:space="preserve">Grande Pleno รามอินทรา - วงแหวน 2</t>
  </si>
  <si>
    <t xml:space="preserve">MK70132</t>
  </si>
  <si>
    <t xml:space="preserve">Pleno เพชรเกษม 91</t>
  </si>
  <si>
    <t xml:space="preserve">MK40144</t>
  </si>
  <si>
    <t xml:space="preserve">Pleno รามอินทรา - บางชัน สเตชั่น 2</t>
  </si>
  <si>
    <t xml:space="preserve">MK40133</t>
  </si>
  <si>
    <t xml:space="preserve">Aspire อิสรภาพ สเตชั่น</t>
  </si>
  <si>
    <t xml:space="preserve">MK40135 </t>
  </si>
  <si>
    <t xml:space="preserve">Aspire จตุจักร อินเตอร์เชนจ์</t>
  </si>
  <si>
    <t xml:space="preserve">บริษัท เอพี เอ็มอี 22 จำกัด (สำนักงานใหญ่)</t>
  </si>
  <si>
    <t xml:space="preserve">0105566093522</t>
  </si>
  <si>
    <t xml:space="preserve">MKAQ0001</t>
  </si>
  <si>
    <t xml:space="preserve">Life เจริญนคร - สาทร</t>
  </si>
  <si>
    <t xml:space="preserve">MK40143</t>
  </si>
  <si>
    <t xml:space="preserve">อภิทาวน์ สุพรรณบุรี</t>
  </si>
  <si>
    <t xml:space="preserve">MK20053</t>
  </si>
  <si>
    <t xml:space="preserve">อภิทาวน์ ระยอง 2</t>
  </si>
  <si>
    <t xml:space="preserve">MK20054</t>
  </si>
  <si>
    <t xml:space="preserve">Pleno Town ประชาอุทิศ 90</t>
  </si>
  <si>
    <t xml:space="preserve">MK40130</t>
  </si>
  <si>
    <t xml:space="preserve">บ้านกลางเมือง The Edition บางนา</t>
  </si>
  <si>
    <t xml:space="preserve">MK20045</t>
  </si>
  <si>
    <t xml:space="preserve"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t>
  </si>
  <si>
    <t xml:space="preserve">บ้านกลางเมือง Classe รัชดา - ลาดพร้าว</t>
  </si>
  <si>
    <t xml:space="preserve">MK40140</t>
  </si>
  <si>
    <t xml:space="preserve">บ้านกลางเมือง รามคำแหง 174 สเตชั่น</t>
  </si>
  <si>
    <t xml:space="preserve">MK70125</t>
  </si>
  <si>
    <t xml:space="preserve">Pleno พระราม 9 - กรุงเทพกรีฑา 3</t>
  </si>
  <si>
    <t xml:space="preserve">MK40152</t>
  </si>
  <si>
    <t xml:space="preserve">Pleno สุขุมวิท-บางนา 3</t>
  </si>
  <si>
    <t xml:space="preserve">MK70130</t>
  </si>
  <si>
    <t xml:space="preserve">Pleno บางนา-เทพารักษ์</t>
  </si>
  <si>
    <t xml:space="preserve">MK40151</t>
  </si>
  <si>
    <t xml:space="preserve">บ้านกลางเมือง The Edition โยธินพัฒนา</t>
  </si>
  <si>
    <t xml:space="preserve">MK70127</t>
  </si>
  <si>
    <t xml:space="preserve">Pleno Town วงแหวน-รังสิต คลอง 7</t>
  </si>
  <si>
    <t xml:space="preserve">บ้านกลางเมือง นอร์ธ ราชพฤกษ์</t>
  </si>
  <si>
    <t xml:space="preserve">Pleno Town สุขุมวิท-บางปู</t>
  </si>
  <si>
    <t xml:space="preserve">District สุขุมวิท 77</t>
  </si>
  <si>
    <t xml:space="preserve">Y0003</t>
  </si>
  <si>
    <t xml:space="preserve">MKY0003</t>
  </si>
  <si>
    <t xml:space="preserve">Pleno ปัญญา - รามอินทรา</t>
  </si>
  <si>
    <t xml:space="preserve">MK70124</t>
  </si>
  <si>
    <t xml:space="preserve">Pleno สุขสวัสดิ์-ประชาอุทิศ 60</t>
  </si>
  <si>
    <t xml:space="preserve">Pleno Town ติวานนท์ - รังสิต</t>
  </si>
  <si>
    <t xml:space="preserve">Pleno Town เพชรเกษม 81</t>
  </si>
  <si>
    <t xml:space="preserve">GOOD DAY SUKHUMVIT 93</t>
  </si>
  <si>
    <t xml:space="preserve">Grande Pleno สุขสวัสดิ์ 64</t>
  </si>
  <si>
    <t xml:space="preserve">PLENO วิภาวดี-รังสิต</t>
  </si>
  <si>
    <t xml:space="preserve">BKM The Edition พระราม 9 - พัฒนาการ</t>
  </si>
  <si>
    <t xml:space="preserve">BKM The Edition พระราม 9 - พัฒนาการ 2</t>
  </si>
  <si>
    <t xml:space="preserve">WA0004</t>
  </si>
  <si>
    <t xml:space="preserve">อภิทาวน์ พิษณุโลก</t>
  </si>
  <si>
    <t xml:space="preserve">Life สาทร - นราธิวาส 22</t>
  </si>
  <si>
    <t xml:space="preserve">บริษัท เอพี เอ็มอี 24 จำกัด (สำนักงานใหญ่)</t>
  </si>
  <si>
    <t xml:space="preserve">AS0002</t>
  </si>
  <si>
    <t xml:space="preserve">MKAS0002</t>
  </si>
  <si>
    <t xml:space="preserve">District พหลโยธิน - วิภาวดี</t>
  </si>
  <si>
    <t xml:space="preserve">Grande Pleno วิภาวดี - รังสิต</t>
  </si>
  <si>
    <t xml:space="preserve">Pleno ดอนเมือง</t>
  </si>
  <si>
    <t xml:space="preserve">Life เจเจ อินเตอร์เชนจ์</t>
  </si>
  <si>
    <t xml:space="preserve">AQ0001</t>
  </si>
  <si>
    <t xml:space="preserve">บ้านกลางเมือง The Edition บางนา 2</t>
  </si>
  <si>
    <t xml:space="preserve">Life อุดมสุข สเตชั่น</t>
  </si>
  <si>
    <t xml:space="preserve">บริษัท เอพี เอ็มอี 30 จำกัด (สำนักงานใหญ่)</t>
  </si>
  <si>
    <t xml:space="preserve">0125566010741</t>
  </si>
  <si>
    <t xml:space="preserve">AU0001</t>
  </si>
  <si>
    <t xml:space="preserve">Grande Pleno ทวีวัฒนา</t>
  </si>
  <si>
    <t xml:space="preserve">อภิทาวน์ ราชบุรี</t>
  </si>
  <si>
    <t xml:space="preserve">Pleno Town ลำลูกกา คลอง 7-วงแหวน</t>
  </si>
  <si>
    <t xml:space="preserve">BKM The Edition สาทร - กัลปพฤกษ์</t>
  </si>
  <si>
    <t xml:space="preserve">Pleno Town ลาดกระบัง - สุวรรณภูมิ</t>
  </si>
  <si>
    <t xml:space="preserve">Pleno ราชพฤกษ์ 2</t>
  </si>
  <si>
    <t xml:space="preserve">Pleno ศรีนครินทร์ - เทพารักษ์</t>
  </si>
  <si>
    <t xml:space="preserve">Grande Pleno กรุงเทพกรีฑา</t>
  </si>
  <si>
    <t xml:space="preserve">WA0009</t>
  </si>
  <si>
    <t xml:space="preserve">Pleno สุขุมวิท-บางนา 4</t>
  </si>
  <si>
    <t xml:space="preserve">Pleno พระราม 3-สุขสวัสดิ์ 30</t>
  </si>
  <si>
    <t xml:space="preserve">Pleno Town แจ้งวัฒนะ-345</t>
  </si>
  <si>
    <t xml:space="preserve">บ้านกลางเมือง The Edition วิภาวดี</t>
  </si>
  <si>
    <t xml:space="preserve">Pleno Town ลาดกระบัง - ฉลองกรุง 53</t>
  </si>
  <si>
    <t xml:space="preserve">WA0008</t>
  </si>
  <si>
    <t xml:space="preserve">VESTA</t>
  </si>
  <si>
    <t xml:space="preserve">บริษัท เคลย์ มอร์ อินโนเวชั่น แล็บ จำกัด (สำนักงานใหญ่)</t>
  </si>
  <si>
    <t xml:space="preserve">170/43 อาคารโอเชี่ยนทาวเวอร์ 1ชั้น 14 ซ.สุขุมวิท 16 (สามมิตร) 
ถ.รัชดาภิเษกตัดใหม่ แขวงคลองเตย เขตคลองเตย กรุงเทพมหานคร 10110</t>
  </si>
  <si>
    <t xml:space="preserve">Life สุขุมวิท - พระราม 4</t>
  </si>
  <si>
    <t xml:space="preserve">AH0002</t>
  </si>
  <si>
    <t xml:space="preserve">Grande Pleno พหลโยธิน-วิภาวดี 3</t>
  </si>
  <si>
    <t xml:space="preserve">บ้านกลางเมือง ปิ่นเกล้า-จรัญฯ 2</t>
  </si>
  <si>
    <t xml:space="preserve">บ้านกลางเมือง ปิ่นเกล้า-บรมฯ</t>
  </si>
  <si>
    <t xml:space="preserve">บ้านกลางเมือง ราชพฤกษ์-นครอินทร์</t>
  </si>
  <si>
    <t xml:space="preserve">Aspire สุขุมวิท 103</t>
  </si>
  <si>
    <t xml:space="preserve">บริษัท เอพี เอ็มอี 25 จำกัด (สำนักงานใหญ่)</t>
  </si>
  <si>
    <t xml:space="preserve">AT0001</t>
  </si>
  <si>
    <t xml:space="preserve">Grande Pleno สุขุมวิท-แพรกษา</t>
  </si>
  <si>
    <t xml:space="preserve">บ้านกลางเมือง The Edition พหลโยธิน-วิภาวดี</t>
  </si>
  <si>
    <t xml:space="preserve">WA0005</t>
  </si>
  <si>
    <t xml:space="preserve">Pleno แจ้งวัฒนะ-ติวานนท์</t>
  </si>
  <si>
    <t xml:space="preserve">Pleno Town รังสิต-คลอง 2</t>
  </si>
  <si>
    <t xml:space="preserve">Life รัชดา - พระราม 9</t>
  </si>
  <si>
    <t xml:space="preserve">บริษัท เอพี เอ็มอี 23 จำกัด (สำนักงานใหญ่)</t>
  </si>
  <si>
    <t xml:space="preserve">AR0002</t>
  </si>
  <si>
    <t xml:space="preserve">Pleno แจ้งวัฒนะ</t>
  </si>
  <si>
    <t xml:space="preserve">บ้านกลางเมือง สาทร-กัลปพฤกษ์ 2</t>
  </si>
  <si>
    <t xml:space="preserve">Pleno Town ธรรมศาสตร์-รังสิต</t>
  </si>
  <si>
    <t xml:space="preserve">บ้านกลางเมือง ศรีนครินทร์-บางนา</t>
  </si>
  <si>
    <t xml:space="preserve">อภิทาวน์ หัวหิน</t>
  </si>
  <si>
    <t xml:space="preserve">อภิทาวน์ สระบุรี</t>
  </si>
  <si>
    <t xml:space="preserve">PLENO TOWN เอกชัย - บางบอน</t>
  </si>
  <si>
    <t xml:space="preserve">GRANDE PLENO ศรีนครินทร์ - เทพารักษ์</t>
  </si>
  <si>
    <t xml:space="preserve">Pleno สุขุมวิท-แพรกษา</t>
  </si>
  <si>
    <t xml:space="preserve">MKAU2053</t>
  </si>
  <si>
    <t xml:space="preserve">AU2053</t>
  </si>
  <si>
    <t xml:space="preserve">PLENO พหลโยธิน - สายไหม 57</t>
  </si>
  <si>
    <t xml:space="preserve">PLENO พระราม 9 - กรุงเทพกรีฑา 4</t>
  </si>
  <si>
    <t xml:space="preserve">Pleno เทพารักษ์ - บางพลี</t>
  </si>
  <si>
    <t xml:space="preserve">MKAM2053</t>
  </si>
  <si>
    <t xml:space="preserve">AM2053</t>
  </si>
  <si>
    <t xml:space="preserve">Grande Pleno พหลโยธิน - ธูปะเตมีย์</t>
  </si>
  <si>
    <t xml:space="preserve">Pleno ฟิวเจอร์ - รังสิต</t>
  </si>
  <si>
    <t xml:space="preserve">อภิทาวน์ ฉะเชิงเทรา 2</t>
  </si>
  <si>
    <t xml:space="preserve">MKC22229</t>
  </si>
  <si>
    <t xml:space="preserve">GRANDE PLENO ปิ่นเกล้า - จรัญฯ 2</t>
  </si>
  <si>
    <t xml:space="preserve">Grande Pleno พระราม 9 - กรุงเทพกรีฑา</t>
  </si>
  <si>
    <t xml:space="preserve">Pleno ราชพฤกษ์ - นครอินทร์</t>
  </si>
  <si>
    <t xml:space="preserve">Grande Pleno พระราม 9 - กรุงเทพกรีฑา 3</t>
  </si>
  <si>
    <t xml:space="preserve">อภิทาวน์ จันทบุรี</t>
  </si>
  <si>
    <t xml:space="preserve">Pleno Town เทพารักษ์-บางพลี</t>
  </si>
  <si>
    <t xml:space="preserve">Pleno พระราม 9 - กรุงเทพกรีฑา 4</t>
  </si>
  <si>
    <t xml:space="preserve">เอเชี่ยน พร็อพเพอร์ตี้ (2024)</t>
  </si>
  <si>
    <t xml:space="preserve">อภิทาวน์ บุรีรัมย์</t>
  </si>
  <si>
    <t xml:space="preserve">GRANDE PLENO บางนา - กิ่งแก้ว</t>
  </si>
  <si>
    <t xml:space="preserve">อภิทาวน์ ชลบุรี-บางแสน</t>
  </si>
  <si>
    <t xml:space="preserve">GOOD DAY มอร์ บางมด</t>
  </si>
  <si>
    <t xml:space="preserve">บริษัท เอพี เอ็มอี 26 จำกัด (สำนักงานใหญ่)</t>
  </si>
  <si>
    <t xml:space="preserve">0105569014704</t>
  </si>
  <si>
    <t xml:space="preserve">WB0001</t>
  </si>
  <si>
    <t xml:space="preserve">บ้านกลางเมือง The Edition เกษตร-นวมินทร์</t>
  </si>
  <si>
    <t xml:space="preserve">WA0010</t>
  </si>
  <si>
    <t xml:space="preserve">Count of Project</t>
  </si>
  <si>
    <t xml:space="preserve">(empty)</t>
  </si>
  <si>
    <t xml:space="preserve">Total Result</t>
  </si>
  <si>
    <t xml:space="preserve">Row Labels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</si>
</sst>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###########"/>
    <numFmt numFmtId="166" formatCode="####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Tahoma"/>
      <family val="2"/>
      <charset val="1"/>
    </font>
    <font>
      <b val="true"/>
      <sz val="10"/>
      <color theme="1"/>
      <name val="Tahoma"/>
      <family val="2"/>
      <charset val="1"/>
    </font>
    <font>
      <b val="true"/>
      <sz val="10"/>
      <color rgb="FF000000"/>
      <name val="Tahoma"/>
      <family val="2"/>
      <charset val="1"/>
    </font>
    <font>
      <sz val="10"/>
      <color theme="1"/>
      <name val="Tahoma"/>
      <family val="2"/>
      <charset val="1"/>
    </font>
    <font>
      <sz val="10"/>
      <name val="Tahoma"/>
      <family val="2"/>
      <charset val="1"/>
    </font>
    <font>
      <sz val="11"/>
      <color theme="1"/>
      <name val="Calibri"/>
      <family val="2"/>
      <charset val="1"/>
    </font>
    <font>
      <sz val="14"/>
      <color theme="1"/>
      <name val="CordiaUPC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0" tint="-0.15"/>
        <bgColor rgb="FFB5E5E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theme="9" tint="0.5998"/>
        <bgColor rgb="FFD9D9D9"/>
      </patternFill>
    </fill>
    <fill>
      <patternFill patternType="solid">
        <fgColor rgb="FFFFC000"/>
        <bgColor rgb="FFFF99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dotted">
        <color theme="0" tint="-0.15"/>
      </left>
      <right style="dotted">
        <color theme="0" tint="-0.15"/>
      </right>
      <top style="dotted">
        <color theme="0" tint="-0.15"/>
      </top>
      <bottom style="dotted">
        <color theme="0" tint="-0.15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5" fontId="9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9" fillId="2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6" fontId="9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9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9" fillId="5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9" fillId="5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9" fillId="6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6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1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2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4" fillId="0" borderId="11" xfId="2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4" fontId="5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43">
    <dxf>
      <fill>
        <patternFill patternType="solid">
          <fgColor rgb="FFB5E5E8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B5E5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75" createdVersion="3">
  <cacheSource type="worksheet">
    <worksheetSource ref="A1:I376" sheet="หัวบริษัทฯ"/>
  </cacheSource>
  <cacheFields count="9">
    <cacheField name="Project" numFmtId="0">
      <sharedItems containsMixedTypes="1" containsNumber="1" containsInteger="1" minValue="72053" maxValue="72053" count="375">
        <n v="72053"/>
        <s v="7205C"/>
        <s v="7205i"/>
        <s v="7205j"/>
        <s v="Aspire Arun Prive"/>
        <s v="Aspire Ratchayothin"/>
        <s v="Aspire Rattanathibet Weston"/>
        <s v="Aspire Vibha-Victory"/>
        <s v="Aspire งามวงศ์วาน"/>
        <s v="Aspire ปิ่นเกล้า - อรุณ อมรินทร์"/>
        <s v="Aspire พระราม 9"/>
        <s v="Aspire รัชดา - วงศ์สว่าง"/>
        <s v="Aspire รัตนาธิเบศร์ 1"/>
        <s v="Aspire รัตนาธิเบศร์ 2 (เฟส A)"/>
        <s v="Aspire ลาดพร้าว 113"/>
        <s v="Aspire วุฒากาศ"/>
        <s v="Aspire สาทร - ตากสิน (คอปเปอร์โซน)"/>
        <s v="Aspire สาทร - ตากสิน (ทิมเบอร์โซน)"/>
        <s v="Aspire สาทร - ตากสิน (บริคโซน)"/>
        <s v="Aspire สาทร - ท่าพระ"/>
        <s v="Aspire สาทร - ราชพฤกษ์"/>
        <s v="Aspire สุขุมวิท - พระราม 4"/>
        <s v="Aspire สุขุมวิท 48"/>
        <s v="Aspire สุขุมวิท-อ่อนนุช"/>
        <s v="Aspire อโศก - รัชดา"/>
        <s v="Aspire อ่อนนุช สเตชั่น"/>
        <s v="Aspire อุดรธานี"/>
        <s v="Aspire เอราวัณ (Tower A)"/>
        <s v="Aspire เอราวัณ (Tower B)"/>
        <s v="Aspire เอราวัณ ไพร์ม"/>
        <s v="Bangkok CitiSmart Co., Ltd."/>
        <s v="BKM"/>
        <s v="BKM Classe Ekkamai - Ramintra"/>
        <s v="BKM Classe Sukhumvit 77"/>
        <s v="BKM The Edition พระราม9 - พัฒนาการ"/>
        <s v="BKM The Edition สาทร-สุขสวัสดิ์"/>
        <s v="BKM The Edition สุขสวัสดิ์-พระราม3"/>
        <s v="BKM The Era ปิ่นเกล้า-จรัญฯ"/>
        <s v="CD2-1"/>
        <s v="CD2-2"/>
        <s v="Centro Westgate"/>
        <s v="CENTRO ชัยพฤกษ์ - แจ้งวัฒนะ 2"/>
        <s v="CENTRO ชัยพฤกษ์ - แจ้งวัฒนะ 3"/>
        <s v="CENTRO ชัยพฤกษ์ 345"/>
        <s v="Centro ชัยพฤกษ์-แจ้งวัฒนะ"/>
        <s v="CENTRO ดอนเมือง - แจ้งวัฒนะ"/>
        <s v="Centro ติวานนท์ - ศรีสมาน"/>
        <s v="CENTRO ทวีวัฒนา"/>
        <s v="CENTRO บางนา"/>
        <s v="Centro บางนา-กม. 7"/>
        <s v="CENTRO บางนา-กิ่งแก้ว"/>
        <s v="CENTRO บางนา-วงแหวน"/>
        <s v="CENTRO บางนา-ศรีนครินทร์"/>
        <s v="CENTRO บางบอน"/>
        <s v="CENTRO บางใหญ่"/>
        <s v="CENTRO ประชาอุทิศ 90"/>
        <s v="CENTRO ปิ่นเกล้า "/>
        <s v="Centro ปิ๋นเกล้า - วงแหวน"/>
        <s v="CENTRO พระราม 2 - พุทธบูชา 2"/>
        <s v="CENTRO พระราม 5 - นครอินทร์"/>
        <s v="Centro พระราม 5-นครอินทร์"/>
        <s v="CENTRO พระราม 9 - กรุงเทพกรีฑา"/>
        <s v="Centro พระราม 9 - มอเตอร์เวย์"/>
        <s v="CENTRO พระราม 9 - มอเตอร์เวย์ 2"/>
        <s v="Centro พระราม2-พุทธบูชา"/>
        <s v="Centro พหล-วิภาวดี"/>
        <s v="CENTRO พหลฯ - วิภาวดี 2"/>
        <s v="CENTRO พหลฯ-วิภาวดี 3"/>
        <s v="CENTRO เพชรเกษม - บางแค"/>
        <s v="CENTRO เพชรเกษม 69"/>
        <s v="Centro รังสิต"/>
        <s v="Centro รังสิตคลอง 4 - วงแหวน"/>
        <s v="Centro รัตนาธิเบศร์"/>
        <s v="Centro รัตนาธิเบศร์ 2"/>
        <s v="Centro ราชพฤกษ์"/>
        <s v="CENTRO ราชพฤกษ์ - แจ้งวัฒนะ"/>
        <s v="Centro ราชพฤกษ์ - ปิ่นเกล้า"/>
        <s v="CENTRO ราชพฤกษ์ - สวนผัก"/>
        <s v="Centro ราชพฤกษ์ - สวนผัก 2"/>
        <s v="CENTRO ราชพฤกษ์ - สวนผัก 3"/>
        <s v="CENTRO ราชพฤกษ์ 2"/>
        <s v="CENTRO ราชพฤกษ์ 3"/>
        <s v="CENTRO ราชพฤกษ์ 345"/>
        <s v="Centro รามอินทรา"/>
        <s v="Centro รามอินทรา 109"/>
        <s v="Centro รามอินทรา 2"/>
        <s v="Centro รามอินทรา-จตุโชติ"/>
        <s v="CENTRO รามอินทรา-จตุโชติ 2 "/>
        <s v="CENTRO รามอินทรา-จตุโชติ 3"/>
        <s v="CENTRO วงแหวน-จตุโชติ"/>
        <s v="Centro วัชรพล"/>
        <s v="Centro วัชรพล 2"/>
        <s v="CENTRO วิภาวดี"/>
        <s v="Centro ศรีนครินทร์ - บางนา"/>
        <s v="Centro สะพานมหาเจษฎาบดินทร์ฯ"/>
        <s v="Centro สะพานมหาเจษฎาบดินทร์ฯ 2"/>
        <s v="CENTRO สะพานมหาเจษฎาบดินทร์ฯ 3"/>
        <s v="Centro สาทร - กัลปพฤกษ์"/>
        <s v="Centro สุขสวัสดิ์ - พระราม 3"/>
        <s v="CENTRO อ่อนนุช - ลาดกระบัง"/>
        <s v="Centro อ่อนนุช - วงแหวน"/>
        <s v="Centro อ่อนนุช-สุวรรณภูมิ"/>
        <s v="COO พิษณุโลก"/>
        <s v="District เทพารักษ์"/>
        <s v="District รามอินทรา-จตุโชติ"/>
        <s v="District ลาดพร้าว (เฟส 1)"/>
        <s v="District ศรีวรา"/>
        <s v="District เอกมัย - รามอินทรา"/>
        <s v="Full Funnel CD2"/>
        <s v="Grande Pleno ท่าน้ำนนท์"/>
        <s v="Grande Pleno บางนา-อ่อนนุช"/>
        <s v="Grande Pleno บางใหญ่"/>
        <s v="Grande Pleno ปิ่นเกล้า-กาญจนาฯ"/>
        <s v="Grande Pleno ปิ่นเกล้า-จรัญฯ"/>
        <s v="Grande Pleno พระราม 9 - มอเตอร์เวย์"/>
        <s v="Grande Pleno พหลโยธิน - เพิ่มสิน 28"/>
        <s v="Grande Pleno พหลโยธิน - วัชรพล"/>
        <s v="Grande Pleno พหลโยธิน-รังสิต"/>
        <s v="Grande Pleno พหลโยธิน-วิภาวดี"/>
        <s v="Grande Pleno พหลโยธิน-วิภาวดี2"/>
        <s v="Grande Pleno เมกา บางนา"/>
        <s v="Grande Pleno รัตนาธิเบศร์"/>
        <s v="Grande Pleno ราชพฤกษ์"/>
        <s v="Grande Pleno รามอินทรา - บางชัน สเตชั่น"/>
        <s v="Grande Pleno รามอินทรา-จตุโชติ"/>
        <s v="Grande Pleno รามอินทรา-วงแหวน"/>
        <s v="Grande Pleno วัชรพล-สุขาภิบาล5"/>
        <s v="Grande Pleno ศาลายา-บรมราชชนนี"/>
        <s v="Grande Pleno สุขสวัสดิ์"/>
        <s v="Grande Pleno สุขสวัสดิ์-พระราม 3"/>
        <s v="Grande Pleno สุขุมวิท - บางนา"/>
        <s v="HR"/>
        <s v="Life ๑ Wireless"/>
        <s v="Life Asoke Hype"/>
        <s v="Life Ladprao"/>
        <s v="Life Ladprao Valley"/>
        <s v="Life Phahon-Ladprao"/>
        <s v="Life Sathorn Sierra"/>
        <s v="Life ปิ่นเกล้า"/>
        <s v="Life พระราม 4 - อโศก"/>
        <s v="Life รัชดาภิเษก"/>
        <s v="Life สุขุมวิท 48"/>
        <s v="Life สุขุมวิท 62"/>
        <s v="Life อโศก"/>
        <s v="Life อโศก - พระราม 9"/>
        <s v="Marketing"/>
        <s v="Mind ติวานนท์"/>
        <s v="Mind ปิ่นเกล้า - จรัญฯ"/>
        <s v="Mind พระราม 2 - สาทร"/>
        <s v="Moden บางนา-เทพารักษ์"/>
        <s v="Moden บางนา-ศรีนครินทร์"/>
        <s v="Moden พระราม 2"/>
        <s v="Moden เพชรเกษม 81"/>
        <s v="MODEN รังสิตคลอง 4-วงแหวน "/>
        <s v="Moden ราชพฤกษ์ 345"/>
        <s v="Moden รามอินทรา-หทัยราษฎร์"/>
        <s v="Online MKT"/>
        <s v="Pleno East"/>
        <s v="Pleno Town บางนา"/>
        <s v="PLENO TOWN บ้านกล้วย - กาญจนาฯ"/>
        <s v="PLENO TOWN ปิ่นเกล้า - กาญจนาฯ"/>
        <s v="PLENO TOWN ปิ่นเกล้า - สาย 5"/>
        <s v="PLENO TOWN พระราม 2"/>
        <s v="Pleno Town พหลโยธิน - วิภาวดี"/>
        <s v="PLENO TOWN พหลโยธิน-ลำลูกกา"/>
        <s v="PLENO TOWN รังสิตคลอง 4-วงแหวน "/>
        <s v="Pleno Town ราชพฤกษ์-345"/>
        <s v="Pleno Town ลาดกระบัง - ฉลองกรุง"/>
        <s v="Pleno Town ลำลูกกา - คลอง 5"/>
        <s v="PLENO TOWN เวสต์เกต"/>
        <s v="Pleno Town สุขุมวิท - เทพารักษ์"/>
        <s v="Pleno Town สุขุมวิท บางปู"/>
        <s v="Pleno West"/>
        <s v="Pleno ชัยพฤกษ์"/>
        <s v="Pleno ชัยพฤกษ์-แจ้งวัฒนะ"/>
        <s v="Pleno ชัยพฤกษ์-แจ้งวัฒนะ 2"/>
        <s v="Pleno ดอนเมือง-สรงประภา"/>
        <s v="Pleno ติวานนท์"/>
        <s v="Pleno ติวานนท์ - แจ้งวัฒนะ"/>
        <s v="PLENO ติวานนท์-แจ้งวัฒนะ 2"/>
        <s v="Pleno บางนา-วงแหวน"/>
        <s v="Pleno บางนา-อ่อนนุช"/>
        <s v="Pleno บางนา-อ่อนนุช 2"/>
        <s v="Pleno บางนา-อ่อนนุช2"/>
        <s v="Pleno บางใหญ่"/>
        <s v="Pleno บางใหญ่ - กาญจนาฯ"/>
        <s v="Pleno บางใหญ่ 2"/>
        <s v="Pleno บางใหญ่ 3"/>
        <s v="Pleno ประชาอุทิศ-สุขสวัสดิ์"/>
        <s v="Pleno ปิ่นเกล้า - ราชพฤกษ์"/>
        <s v="Pleno ปิ่นเกล้า - วงแหวน"/>
        <s v="Pleno ปิ่นเกล้า-จรัญ 2"/>
        <s v="Pleno ปิ่นเกล้า-จรัญ 3"/>
        <s v="Pleno ปิ่นเกล้า-จรัญฯ"/>
        <s v="Pleno พระราม 5-ปิ่นเกล้า"/>
        <s v="Pleno พระราม 9-กรุงเทพกรีฑา"/>
        <s v="Pleno พระราม 9-กรุงเทพกรีฑา 2"/>
        <s v="Pleno พหลโยธิน"/>
        <s v="Pleno พหลโยธิน - สายไหม"/>
        <s v="Pleno พหลโยธิน - สายไหม 2"/>
        <s v="Pleno พหลโยธิน-รังสิต"/>
        <s v="Pleno พหลโยธิน-วัชรพล"/>
        <s v="Pleno พหลโยธิน-วัชรพล 2"/>
        <s v="Pleno เพชรเกษม - สาย 4"/>
        <s v="Pleno เพชรเกษม 112"/>
        <s v="Pleno เพชรเกษม 81"/>
        <s v="Pleno รังสิต"/>
        <s v="Pleno รังสิตคลอง 4 - วงแหวน"/>
        <s v="Pleno รัตนาธิเบศร์ - ชัยพฤกษ์"/>
        <s v="Pleno รัตนาธิเบศร์-บางใหญ่"/>
        <s v="Pleno ราชพฤกษ์"/>
        <s v="Pleno ราชพฤกษ์ - พระราม 5"/>
        <s v="Pleno ราชพฤกษ์-แจ้งวัฒนะ"/>
        <s v="Pleno ราชพฤกษ์-รัตนาธิเบศร์"/>
        <s v="Pleno ราชพฤกษ์-สาทร"/>
        <s v="Pleno รามอินทรา"/>
        <s v="Pleno รามอินทรา-จตุโชติ"/>
        <s v="Pleno รามอินทรา-บางชัน สเตชั่น"/>
        <s v="Pleno รามอินทรา-วงแหวน"/>
        <s v="Pleno ลาดพร้าว-เสรีไทย"/>
        <s v="Pleno วงแหวน - รามอินทรา"/>
        <s v="Pleno วิภาวดี-ดอนเมือง"/>
        <s v="Pleno เวสต์เกต"/>
        <s v="Pleno ศรีนครินทร์"/>
        <s v="Pleno ศรีนครินทร์-เทพารักษ์"/>
        <s v="Pleno สาทร-สุขสวัสดิ์"/>
        <s v="Pleno สายไหม 62"/>
        <s v="Pleno สุขสวัสดิ์"/>
        <s v="Pleno สุขสวัสดิ์ - พระราม 3"/>
        <s v="Pleno สุขสวัสดิ์ 30 โครงการ 2"/>
        <s v="Pleno สุขสวัสดิ์ 66"/>
        <s v="Pleno สุขสวัสดิ์ 70"/>
        <s v="Pleno สุขสวัสดิ์-ประชาอุทิศ"/>
        <s v="PLENO สุขสวัสดิ์-ประชาอุทิศ 76"/>
        <s v="Pleno สุขุมวิท - บางนา"/>
        <s v="Pleno สุขุมวิท - บางนา 2"/>
        <s v="PR Corporate"/>
        <s v="Rhythm Charoenkrung Pavillion"/>
        <s v="Rhythm Ekkamai"/>
        <s v="Rhythm Ekkamai Estate"/>
        <s v="RHYTHM เจริญนคร ไอคอนิค"/>
        <s v="Rhythm รางน้ำ"/>
        <s v="Rhythm สาทร"/>
        <s v="Rhythm สาทร -นราธิวาส"/>
        <s v="Rhythm สุขุมวิท 36-38"/>
        <s v="Rhythm สุขุมวิท 42"/>
        <s v="Rhythm อโศก I"/>
        <s v="Rhythm อโศก II"/>
        <s v="SDH"/>
        <s v="Soul รัชดาภิเษก 68"/>
        <s v="Soul ลาดพร้าว - เสนา"/>
        <s v="Soul เอกมัย - ลาดพร้าว"/>
        <s v="TH"/>
        <s v="The Address สยาม - ราชเทวี"/>
        <s v="The City กัลปพฤกษ์"/>
        <s v="The City งามวงศ์วาน"/>
        <s v="THE CITY จรัญฯ-ปิ่นเกล้า"/>
        <s v="THE CITY ติวานนท์ - งามวงศ์วาน"/>
        <s v="The City ติวานนท์-งามวงศ์วาน 2"/>
        <s v="The City ทวีวัฒนา"/>
        <s v="The City นวมินทร์"/>
        <s v="THE CITY บรมราชชนนี-ทวีวัฒนา"/>
        <s v="THE CITY บางนา"/>
        <s v="The City บางนา 2"/>
        <s v="The City บางนา 3"/>
        <s v="The City บางนา-กม. 7"/>
        <s v="The City บางใหญ่"/>
        <s v="The City ประชาอุทิศ"/>
        <s v="The City ปิ๋นเกล้า - สาย 4"/>
        <s v="The City ปิ่นเกล้า-บรม"/>
        <s v="THE CITY ปิ่นเกล้า-บรมฯ 2"/>
        <s v="THE CITY ปิ่นเกล้า-บรมฯ 3"/>
        <s v="THE CITY ปิ่นเกล้า-สิรินธร"/>
        <s v="THE CITY พระราม 5 - นครอินทร์"/>
        <s v="The City พระราม 9 - รามคำแหง"/>
        <s v="The City พระราม2 - พุทธบูชา"/>
        <s v="The City พระราม9-กรุงเทพกรีฑา"/>
        <s v="The City พหลโยธิน"/>
        <s v="THE CITY รัชดาฯ-วงศ์สว่าง"/>
        <s v="The City ราชพฤกษ์"/>
        <s v="The City ราชพฤกษ์ - จรัญฯ 13"/>
        <s v="The City ราชพฤกษ์ - ปิ่นเกล้า"/>
        <s v="The City ราชพฤกษ์-สวนผัก"/>
        <s v="The City รามอินทรา"/>
        <s v="THE CITY รามอินทรา 3"/>
        <s v="THE CITY รามอินทรา-วงแหวน"/>
        <s v="The City รามอินทรา-วงแหวน 2"/>
        <s v="The City รามอินทรา2"/>
        <s v="THE CITY วัชรพล"/>
        <s v="The City สะพานมหาเจษฏาบดินทร์ฯ"/>
        <s v="The City สาทร - ราชพฤกษ์"/>
        <s v="The City สาทร - สุขสวัสดิ์ 2"/>
        <s v="The City สาทร - สุขสวัสดิ์ 3"/>
        <s v="The City สาทร-กัลปพฤกษ์"/>
        <s v="The City สาทร-สุขสวัสดิ์"/>
        <s v="THE CITY สุขสวัสดิ์ 64"/>
        <s v="The City สุขุมวิท - แยกบางนา"/>
        <s v="THE CITY สุขุมวิท-อ่อนนุช"/>
        <s v="THE CITY สุขุมวิท-อ่อนนุช 2"/>
        <s v="THE CITY เอกมัย-ลาดพร้าว"/>
        <s v="The Palazzo Srinakarin"/>
        <s v="The Palazzo จรัญสนิทวงศ์ - ราชพฤกษ์"/>
        <s v="The Palazzo ปิ่นเกล้า"/>
        <s v="The Palazzo พระราม 3 - สุขสวัสดิ์"/>
        <s v="The Palazzo ราษฏร์บูรณะ"/>
        <s v="THE SONNE ศรีนครินทร์-บางนา"/>
        <s v="VITTORIO"/>
        <s v="เดอะแวลู พร็อพเพอร์ตี้ (ที่ดิน)"/>
        <s v="บ้านกลางกรุง สาธุประดิษฐ์ - พระราม 3"/>
        <s v="บ้านกลางเมือง Classe รัชโยธิน"/>
        <s v="บ้านกลางเมือง The Edition บางนา-วงแหวน"/>
        <s v="บ้านกลางเมือง The Edition บางนา-วงแหวน (Business District)"/>
        <s v="บ้านกลางเมือง The Edition ประชาชื่น - งามวงศ์วาน"/>
        <s v="บ้านกลางเมือง The Edition ปิ่นเกล้า - บรมฯ"/>
        <s v="บ้านกลางเมือง The Edition ปิ่นเกล้า - บรมฯ 2"/>
        <s v="บ้านกลางเมือง THE EDITION พระราม 9 - อ่อนนุช"/>
        <s v="บ้านกลางเมือง The Edition พระราม9-กรุงเทพกรีฑา"/>
        <s v="บ้านกลางเมือง The Edition พหลโยธิน-รามอินทรา"/>
        <s v="บ้านกลางเมือง The Edition ศรีนครินทร์ - สวนหลวง"/>
        <s v="บ้านกลางเมือง The Edition สาทร-สุขสวัสดิ์"/>
        <s v="บ้านกลางเมือง The Edition สุขสวัสดิ์"/>
        <s v="บ้านกลางเมือง The Edition สุขุมวิท - อ่อนนุช"/>
        <s v="บ้านกลางเมือง กัลปพฤกษ์"/>
        <s v="บ้านกลางเมือง เกษตร - นวมินทร์"/>
        <s v="บ้านกลางเมือง งามวงศ์วาน"/>
        <s v="บ้านกลางเมือง โชคชัย 4"/>
        <s v="บ้านกลางเมือง นวมินทร์ 42"/>
        <s v="บ้านกลางเมือง บางนา - วงแหวน"/>
        <s v="บ้านกลางเมือง ปิ่นเกล้า-จรัญฯ"/>
        <s v="บ้านกลางเมือง พระราม 2"/>
        <s v="บ้านกลางเมือง พระราม 2 - พุทธบูชา"/>
        <s v="บ้านกลางเมือง พระราม 5"/>
        <s v="บ้านกลางเมือง พระราม 9"/>
        <s v="บ้านกลางเมือง พระราม 9 - รามคำแหง"/>
        <s v="บ้านกลางเมือง พระราม 9 - อ่อนนุช"/>
        <s v="บ้านกลางเมือง พระราม9 - กรุงเทพกรีฑา"/>
        <s v="บ้านกลางเมือง พหลโยธิน - วิภาวดี"/>
        <s v="บ้านกลางเมือง พหลโยธิน 50"/>
        <s v="บ้านกลางเมือง พหลโยธิน-รามอินทรา"/>
        <s v="บ้านกลางเมือง พิบูลสงคราม &gt;&gt;บ้านกลางเมือง รัชดา - วงศ์สว่าง"/>
        <s v="บ้านกลางเมือง รัชโยธิน"/>
        <s v="บ้านกลางเมือง รัตนาธิเบศร์"/>
        <s v="บ้านกลางเมือง ราชพฤกษ์"/>
        <s v="บ้านกลางเมือง ราชพฤกษ์-พระราม5"/>
        <s v="บ้านกลางเมือง ราชพฤกษ์-รัตนาธิเบศร์"/>
        <s v="บ้านกลางเมือง ราชพฤกษ์-สาทร"/>
        <s v="บ้านกลางเมือง รามอินทรา"/>
        <s v="บ้านกลางเมือง รามอินทรา 83 สเตชั่น"/>
        <s v="บ้านกลางเมือง รามอินทรา-วัชรพล"/>
        <s v="บ้านกลางเมือง ลาดพร้าว 101 สเตชั่น"/>
        <s v="บ้านกลางเมือง ลาดพร้าว 71"/>
        <s v="บ้านกลางเมือง ลาดพร้าว-เสรีไทย"/>
        <s v="บ้านกลางเมือง วัชรพล"/>
        <s v="บ้านกลางเมือง วิภาวดี"/>
        <s v="บ้านกลางเมือง วิภาวดี-แจ้งวัฒนะ"/>
        <s v="บ้านกลางเมือง ศรีนครินทร์-อ่อนนุช"/>
        <s v="บ้านกลางเมือง สวนหลวง"/>
        <s v="บ้านกลางเมือง สาทร - กัลปพฤกษ์"/>
        <s v="บ้านกลางเมือง สาทร - ตากสิน 2"/>
        <s v="บ้านกลางเมือง สาทร - เพชรเกษม"/>
        <s v="บ้านกลางเมือง สาทร-สุขสวัสดิ์"/>
        <s v="บ้านกลางเมือง สุขสวัสดิ์"/>
        <s v="บ้านกลางเมือง สุขสวัสดิ์ - พระราม 3"/>
        <s v="บ้านกลางเมือง สุขุมวิท 77"/>
        <s v="บ้านกลางเมือง สุขุมวิท-อ่อนนุช"/>
        <s v="อภิทาวน์ ขอนแก่น"/>
        <s v="อภิทาวน์ ฉะเชิงเทรา"/>
        <s v="อภิทาวน์ เชียงราย"/>
        <s v="อภิทาวน์ นครปฐม"/>
        <s v="อภิทาวน์ นครศรีธรรมราช"/>
        <s v="อภิทาวน์ ระยอง"/>
        <s v="อภิทาวน์ สุราษฏร์ธานี"/>
        <s v="อภิทาวน์ อยุธยา"/>
        <s v="อภิทาวน์ อุดรธานี"/>
        <s v="อภิทาวน์ อุบลราชธานี"/>
      </sharedItems>
    </cacheField>
    <cacheField name="หัวบริษัท (TH)" numFmtId="0">
      <sharedItems count="36">
        <s v="บริษัท กรุงเทพ ซิตี้สมาร์ท จำกัด (สำนักงานใหญ่) "/>
        <s v="บริษัท คาร์บอนทู จำกัด (สำนักงานใหญ่)"/>
        <s v="บริษัท เดอะแวลู พร็อพเพอร์ตี้ ดีเวลลอปเม้นท์ จำกัด (สำนักงานใหญ่)"/>
        <s v="บริษัท ไทยบิ๊กเบลลี่ จำกัด (สำนักงานใหญ่) "/>
        <s v="บริษัท พรีเมี่ยม เรสซิเดนซ์ จำกัด (สำนักงานใหญ่) "/>
        <s v="บริษัท เอเชี่ยน พร็อพเพอร์ตี้ (2011) จำกัด (สำนักงานใหญ่)"/>
        <s v="บริษัท เอเชี่ยน พร็อพเพอร์ตี้ (2012) จำกัด (สำนักงานใหญ่)"/>
        <s v="บริษัท เอเชี่ยน พร็อพเพอร์ตี้ (2013) จำกัด (สำนักงานใหญ่)"/>
        <s v="บริษัท เอเชี่ยน พร็อพเพอร์ตี้ (2014) จำกัด (สำนักงานใหญ่)"/>
        <s v="บริษัท เอเชี่ยน พร็อพเพอร์ตี้ (2015) จำกัด (สำนักงานใหญ่)"/>
        <s v="บริษัท เอเชี่ยน พร็อพเพอร์ตี้ (2017) จำกัด (สำนักงานใหญ่)"/>
        <s v="บริษัท เอเชี่ยน พร็อพเพอร์ตี้ (2018) จำกัด (สำนักงานใหญ่)"/>
        <s v="บริษัท เอเชี่ยน พร็อพเพอร์ตี้ (2024) จำกัด (สำนักงานใหญ่)"/>
        <s v="บริษัท เอเชี่ยน พร็อพเพอร์ตี้ (กรุงเทพ) จำกัด (สำนักงานใหญ่)"/>
        <s v="บริษัท เอเชี่ยน พร็อพเพอร์ตี้ จำกัด (สำนักงานใหญ่)"/>
        <s v="บริษัท เอพี (ไทยแลนด์) จำกัด (มหาชน)"/>
        <s v="บริษัท เอพี (เพชรบุรี) จำกัด (สำนักงานใหญ่) "/>
        <s v="บริษัท เอพี (รัชโยธิน) จำกัด (สำนักงานใหญ่) "/>
        <s v="บริษัท เอพี (เอกมัย) จำกัด (สำนักงานใหญ่) "/>
        <s v="บริษัท เอพี เอ็มอี (กรุงเทพ) จำกัด (สำนักงานใหญ่) "/>
        <s v="บริษัท เอพี เอ็มอี (สุขุมวิท) จำกัด (สำนักงานใหญ่) "/>
        <s v="บริษัท เอพี เอ็มอี (อโศก) จำกัด (สำนักงานใหญ่) "/>
        <s v="บริษัท เอพี เอ็มอี 1 จำกัด (สำนักงานใหญ่) "/>
        <s v="บริษัท เอพี เอ็มอี 10 จำกัด (สำนักงานใหญ่) "/>
        <s v="บริษัท เอพี เอ็มอี 12 จำกัด (สำนักงานใหญ่)"/>
        <s v="บริษัท เอพี เอ็มอี 14 จำกัด (สำนักงานใหญ่) "/>
        <s v="บริษัท เอพี เอ็มอี 15 จำกัด (สำนักงานใหญ่)"/>
        <s v="บริษัท เอพี เอ็มอี 16 จำกัด (สำนักงานใหญ่) "/>
        <s v="บริษัท เอพี เอ็มอี 18 จำกัด (สำนักงานใหญ่)"/>
        <s v="บริษัท เอพี เอ็มอี 2 จำกัด (สำนักงานใหญ่) "/>
        <s v="บริษัท เอพี เอ็มอี 20 จำกัด (สำนักงานใหญ่)"/>
        <s v="บริษัท เอพี เอ็มอี 3 จำกัด (สำนักงานใหญ่) "/>
        <s v="บริษัท เอพี เอ็มอี 4 จำกัด (สำนักงานใหญ่) "/>
        <s v="บริษัท เอพี เอ็มอี 5 จำกัด (สำนักงานใหญ่) "/>
        <s v="บริษัท เอพี เอ็มอี 6 จำกัด (สำนักงานใหญ่) "/>
        <s v="บริษัท เอพี เอ็มอี 8 จำกัด (สำนักงานใหญ่) "/>
      </sharedItems>
    </cacheField>
    <cacheField name="หัวบริษัท (EN)" numFmtId="0">
      <sharedItems containsBlank="1" count="37">
        <s v="AP (Ekkamai) Co., Ltd."/>
        <s v="AP (Phetchaburi) Co., Ltd."/>
        <s v="AP (Ratchayothin) Co., Ltd."/>
        <s v="AP (Thailand) Public Company Limited (Head Office)"/>
        <s v="AP ME (ASOKE) CO., LTD"/>
        <s v="AP ME (KRUNGTHEP) CO., LTD"/>
        <s v="AP ME (SUKHUMVIT) CO., Ltd."/>
        <s v="AP ME 1 Co., Ltd."/>
        <s v="AP ME 10 Co., Ltd."/>
        <s v="AP ME 12 Co., Ltd."/>
        <s v="AP ME 14 Co., Ltd."/>
        <s v="AP ME 15 Co.,Ltd."/>
        <s v="AP ME 16 Co., Ltd."/>
        <s v="AP ME 18 Co.,Ltd. (Head Office)"/>
        <s v="AP ME 2 Co., Ltd."/>
        <s v="AP ME 20 Co.,Ltd. (Head Office)"/>
        <s v="AP ME 3 Co., Ltd."/>
        <s v="AP ME 4 Co., Ltd."/>
        <s v="AP ME 5 Co., Ltd."/>
        <s v="AP ME 6 Co., Ltd."/>
        <s v="AP ME 8 Co., Ltd."/>
        <s v="Asian Property (2011) Co., Ltd."/>
        <s v="Asian Property (2012) Co., Ltd."/>
        <s v="Asian Property (2013) Co., Ltd."/>
        <s v="Asian Property (2014) Co., Ltd."/>
        <s v="Asian Property (2015) Co., Ltd."/>
        <s v="Asian Property (2017) Co., Ltd."/>
        <s v="Asian Property (2018) Co., Ltd."/>
        <s v="Asian Property (Krungthep) Co., Ltd."/>
        <s v="ASIAN PROPERTY (KRUNGTHEP) CO.,LTD."/>
        <s v="Asian Property Co., Ltd."/>
        <s v="Asian Property Co., Ltd. (Head Office)"/>
        <s v="Bangkok CitiSmart Co., Ltd."/>
        <s v="Premium Residence Co., Ltd."/>
        <s v="Thai Bigbelly Co., Ltd."/>
        <s v="THE VALUE PROPERTY DEVELOPMENT CO.,LTD. (Head Office)"/>
        <m/>
      </sharedItems>
    </cacheField>
    <cacheField name="ที่อยู่ (TH)" numFmtId="0">
      <sharedItems count="7">
        <s v="170/57 อาคารโอเชี่ยนทาวเวอร์ 1 ชั้น 18 ซอยสุขุมวิท 16 (สามมิตร) &#10;ถนนรัชดาภิเษกตัดใหม่ แขวงคลองเตย เขตคลองเตย กรุงเทพมหานคร 10110"/>
        <s v="170/57 อาคารโอเชี่ยนทาวเวอร์ 1 ชั้น 18 ถ.รัชดาภิเษกตัดใหม่ &#10;แขวงคลองเตย เขตคลองเตย กรุงเทพฯ 10110"/>
        <s v="170/57 อาคารโอเชี่ยนทาวเวอร์ 1 ชั้น 18 ถนนรัชดาภิเษกตัดใหม่ &#10;แขวงคลองเตย เขตคลองเตย กรุงเทพฯ 10110"/>
        <s v="170/57 อาคารโอเชี่ยนทาวเวอร์ 1 ชั้นที่ 18 ซอยสุขุมวิท 16 (สามมิตร) &#10;ถนนรัชดาภิเษกตัดใหม่ แขวงคลองเตย เขตคลองเตย กรุงเทพมหานคร 10110"/>
        <s v="170/64,170/66 อาคารโอเชี่ยนทาวเวอร์ 1 ชั้น 21 ซอยสุขุมวิท 16 (สามมิตร) &#10;ถนนรัชดาภิเษกตัดใหม่ แขวงคลองเตย เขตคลองเตย กรุงเทพมหานคร 10110"/>
        <s v="เลขที่ 170/48 อาคารโอเชี่ยนทาวเวอร์ 1 ชั้น 15 ถ.รัชดาภิเษกตัดใหม่ &#10;แขวงคลองเตย เขตคลองเตย กรุงเทพฯ 10110"/>
        <s v="เลขที่ 170/64,66 อาคารโอเชี่ยนทาวเวอร์ 1 ชั้น 21 ถ.รัชดาภิเษกตัดใหม่ &#10;แขวงคลองเตย เขตคลองเตย กรุงเทพฯ 10110"/>
      </sharedItems>
    </cacheField>
    <cacheField name="ที่อยู่ (EN)" numFmtId="0">
      <sharedItems containsBlank="1" containsMixedTypes="1" containsNumber="1" containsInteger="1" minValue="105553079178" maxValue="105553079178" count="8">
        <n v="105553079178"/>
        <s v="170/48 Ocean Tower 1 Building., 15th Floor, New Ratchadapisek Road, Klongtoey Sub-district, Klongtoey District, Bangkok 10110"/>
        <s v="170/57 18th Fl. Ocean Tower 1, Ratchadapisek Rd., Khongtoey Bangkok 10110"/>
        <s v="170/57 18th Fl. Ocean Tower 1, Ratchadapisek Rd., Khongtoey Bangkok 10110."/>
        <s v="170/57 Ocean Tower 1 Building., 18th Floor, New Ratchadapisek Road, Klongtoey Sub-district, Klongtoey District, Bangkok 10110"/>
        <s v="170/57 Ocean Tower 1, 18 Floor, Soi Sukhumvit 16 (Sammitr), Ratchadapisak Road, Klongtoey, Bangkok 10110"/>
        <s v="170/57, 18TH FL., Ocean Tower 1, New Ratchadaphisek Road Khwaeng Khlong Toei, Khlong Toei, Bangkok 10110"/>
        <m/>
      </sharedItems>
    </cacheField>
    <cacheField name="เลขประจำตัวผู้เสียภาษี" numFmtId="0">
      <sharedItems count="36">
        <s v="0105537054875"/>
        <s v="0105545118836"/>
        <s v="0105548123024"/>
        <s v="0105550124504"/>
        <s v="0105553079178"/>
        <s v="0105554149013"/>
        <s v="0105555003110"/>
        <s v="0105556002672"/>
        <s v="0105556036810"/>
        <s v="0105556162238"/>
        <s v="0105556162246"/>
        <s v="0105556162301"/>
        <s v="0105557063691"/>
        <s v="0105557109039"/>
        <s v="0105557175490"/>
        <s v="0105557183409"/>
        <s v="0105558021291"/>
        <s v="0105558049218"/>
        <s v="0105558067640"/>
        <s v="0105558109199"/>
        <s v="0105559070016"/>
        <s v="0105559070024"/>
        <s v="0105559106240"/>
        <s v="0105560124493"/>
        <s v="0105560124515"/>
        <s v="0105560174822"/>
        <s v="0105560175632"/>
        <s v="0105560178330"/>
        <s v="0105561049304"/>
        <s v="0105561049452"/>
        <s v="0105561085688"/>
        <s v="0105561212841"/>
        <s v="0105562036753"/>
        <s v="0105562036818"/>
        <s v="0105562169842"/>
        <s v="0107537000149"/>
      </sharedItems>
    </cacheField>
    <cacheField name="Project ID" numFmtId="0">
      <sharedItems containsBlank="1" containsMixedTypes="1" containsNumber="1" containsInteger="1" minValue="1202" maxValue="72053" count="175">
        <n v="1202"/>
        <n v="1207"/>
        <n v="1214"/>
        <n v="2013"/>
        <n v="2014"/>
        <n v="2017"/>
        <n v="2018"/>
        <n v="2020"/>
        <n v="2021"/>
        <n v="2023"/>
        <n v="2024"/>
        <n v="2025"/>
        <n v="2026"/>
        <n v="2027"/>
        <n v="2029"/>
        <n v="2030"/>
        <n v="2031"/>
        <n v="2037"/>
        <n v="2039"/>
        <n v="2040"/>
        <n v="2042"/>
        <n v="2044"/>
        <n v="2046"/>
        <n v="2047"/>
        <n v="2048"/>
        <n v="2049"/>
        <n v="2050"/>
        <n v="4017"/>
        <n v="4022"/>
        <n v="4028"/>
        <n v="4031"/>
        <n v="4033"/>
        <n v="4034"/>
        <n v="4037"/>
        <n v="4043"/>
        <n v="4044"/>
        <n v="4045"/>
        <n v="4046"/>
        <n v="4049"/>
        <n v="4051"/>
        <n v="4054"/>
        <n v="4055"/>
        <n v="4058"/>
        <n v="4061"/>
        <n v="4062"/>
        <n v="4064"/>
        <n v="4065"/>
        <n v="4066"/>
        <n v="4067"/>
        <n v="4068"/>
        <n v="4069"/>
        <n v="4070"/>
        <n v="4071"/>
        <n v="4072"/>
        <n v="4074"/>
        <n v="4075"/>
        <n v="4076"/>
        <n v="4077"/>
        <n v="4078"/>
        <n v="4081"/>
        <n v="4082"/>
        <n v="4083"/>
        <n v="4084"/>
        <n v="4085"/>
        <n v="4086"/>
        <n v="4087"/>
        <n v="4088"/>
        <n v="4091"/>
        <n v="4092"/>
        <n v="4093"/>
        <n v="4094"/>
        <n v="4096"/>
        <n v="4097"/>
        <n v="4098"/>
        <n v="4100"/>
        <n v="4101"/>
        <n v="4102"/>
        <n v="4103"/>
        <n v="4104"/>
        <n v="4105"/>
        <n v="4107"/>
        <n v="4108"/>
        <n v="4109"/>
        <n v="4111"/>
        <n v="4112"/>
        <n v="4113"/>
        <n v="4114"/>
        <n v="4115"/>
        <n v="4116"/>
        <n v="4118"/>
        <n v="4119"/>
        <n v="4125"/>
        <n v="4129"/>
        <n v="7000"/>
        <n v="7009"/>
        <n v="7021"/>
        <n v="7026"/>
        <n v="7030"/>
        <n v="7034"/>
        <n v="7037"/>
        <n v="7040"/>
        <n v="7042"/>
        <n v="7043"/>
        <n v="7044"/>
        <n v="7047"/>
        <n v="7048"/>
        <n v="7050"/>
        <n v="7052"/>
        <n v="7053"/>
        <n v="7054"/>
        <n v="7055"/>
        <n v="7056"/>
        <n v="7057"/>
        <n v="7058"/>
        <n v="7061"/>
        <n v="7063"/>
        <n v="7065"/>
        <n v="7067"/>
        <n v="7069"/>
        <n v="7072"/>
        <n v="7073"/>
        <n v="7075"/>
        <n v="7078"/>
        <n v="7080"/>
        <n v="7081"/>
        <n v="7082"/>
        <n v="7086"/>
        <n v="7087"/>
        <n v="7088"/>
        <n v="7090"/>
        <n v="7091"/>
        <n v="7092"/>
        <n v="7095"/>
        <n v="7096"/>
        <n v="7098"/>
        <n v="7099"/>
        <n v="7101"/>
        <n v="7105"/>
        <n v="7111"/>
        <n v="7114"/>
        <n v="40094"/>
        <n v="40122"/>
        <n v="40128"/>
        <n v="70085"/>
        <n v="70104"/>
        <n v="70109"/>
        <n v="70119"/>
        <n v="70134"/>
        <n v="72053"/>
        <s v="AA01"/>
        <s v="AC03, 60027"/>
        <s v="AC04"/>
        <s v="AD02"/>
        <s v="AF01"/>
        <s v="AG01"/>
        <s v="AH01"/>
        <s v="AI01"/>
        <s v="AK02"/>
        <s v="AM01"/>
        <s v="C133"/>
        <s v="C134"/>
        <s v="C136"/>
        <s v="C137"/>
        <s v="C144"/>
        <s v="C145"/>
        <s v="C148"/>
        <s v="C156"/>
        <s v="C204"/>
        <s v="MK40134"/>
        <s v="S002"/>
        <s v="U001"/>
        <s v="X001"/>
        <s v="Y001"/>
        <s v="Y006, 60033"/>
        <m/>
      </sharedItems>
    </cacheField>
    <cacheField name="Cost Center" numFmtId="0">
      <sharedItems containsBlank="1" containsMixedTypes="1" containsNumber="1" containsInteger="1" minValue="10202" maxValue="72053" count="178">
        <n v="10202"/>
        <n v="10214"/>
        <n v="20013"/>
        <n v="20014"/>
        <n v="20017"/>
        <n v="20018"/>
        <n v="20020"/>
        <n v="20021"/>
        <n v="20023"/>
        <n v="20024"/>
        <n v="20025"/>
        <n v="20026"/>
        <n v="20027"/>
        <n v="20029"/>
        <n v="20030"/>
        <n v="20031"/>
        <n v="20037"/>
        <n v="20039"/>
        <n v="20040"/>
        <n v="20042"/>
        <n v="20044"/>
        <n v="20046"/>
        <n v="20047"/>
        <n v="20048"/>
        <n v="20049"/>
        <n v="20050"/>
        <n v="40018"/>
        <n v="40022"/>
        <n v="40028"/>
        <n v="40031"/>
        <n v="40033"/>
        <n v="40034"/>
        <n v="40037"/>
        <n v="40043"/>
        <n v="40044"/>
        <n v="40045"/>
        <n v="40048"/>
        <n v="40049"/>
        <n v="40051"/>
        <n v="40054"/>
        <n v="40055"/>
        <n v="40058"/>
        <n v="40061"/>
        <n v="40062"/>
        <n v="40064"/>
        <n v="40065"/>
        <n v="40066"/>
        <n v="40067"/>
        <n v="40068"/>
        <n v="40069"/>
        <n v="40070"/>
        <n v="40071"/>
        <n v="40072"/>
        <n v="40074"/>
        <n v="40075"/>
        <n v="40076"/>
        <n v="40077"/>
        <n v="40078"/>
        <n v="40079"/>
        <n v="40080"/>
        <n v="40081"/>
        <n v="40082"/>
        <n v="40083"/>
        <n v="40084"/>
        <n v="40085"/>
        <n v="40086"/>
        <n v="40087"/>
        <n v="40088"/>
        <n v="40089"/>
        <n v="40091"/>
        <n v="40092"/>
        <n v="40093"/>
        <n v="40094"/>
        <n v="40096"/>
        <n v="40097"/>
        <n v="40098"/>
        <n v="40100"/>
        <n v="40101"/>
        <n v="40102"/>
        <n v="40103"/>
        <n v="40104"/>
        <n v="40105"/>
        <n v="40107"/>
        <n v="40108"/>
        <n v="40109"/>
        <n v="40111"/>
        <n v="40112"/>
        <n v="40113"/>
        <n v="40114"/>
        <n v="40115"/>
        <n v="40116"/>
        <n v="40118"/>
        <n v="40119"/>
        <n v="40129"/>
        <n v="70000"/>
        <n v="70009"/>
        <n v="70021"/>
        <n v="70026"/>
        <n v="70030"/>
        <n v="70034"/>
        <n v="70037"/>
        <n v="70040"/>
        <n v="70042"/>
        <n v="70043"/>
        <n v="70044"/>
        <n v="70047"/>
        <n v="70048"/>
        <n v="70050"/>
        <n v="70052"/>
        <n v="70053"/>
        <n v="70054"/>
        <n v="70055"/>
        <n v="70056"/>
        <n v="70057"/>
        <n v="70058"/>
        <n v="70059"/>
        <n v="70061"/>
        <n v="70063"/>
        <n v="70065"/>
        <n v="70067"/>
        <n v="70069"/>
        <n v="70072"/>
        <n v="70073"/>
        <n v="70075"/>
        <n v="70076"/>
        <n v="70078"/>
        <n v="70079"/>
        <n v="70080"/>
        <n v="70081"/>
        <n v="70082"/>
        <n v="70086"/>
        <n v="70087"/>
        <n v="70088"/>
        <n v="70090"/>
        <n v="70091"/>
        <n v="70092"/>
        <n v="70095"/>
        <n v="70096"/>
        <n v="70098"/>
        <n v="70099"/>
        <n v="70101"/>
        <n v="70105"/>
        <n v="70111"/>
        <n v="70117"/>
        <n v="72053"/>
        <s v="AA0001"/>
        <s v="AC0003"/>
        <s v="AC0004"/>
        <s v="AD0002"/>
        <s v="AF0001"/>
        <s v="AG0001"/>
        <s v="AH0001"/>
        <s v="AI0001"/>
        <s v="AK0002"/>
        <s v="AM0001"/>
        <s v="C137"/>
        <s v="C42213"/>
        <s v="C42223"/>
        <s v="C42225"/>
        <s v="C42226"/>
        <s v="C42227"/>
        <s v="MK40122"/>
        <s v="MK40128"/>
        <s v="MK40134"/>
        <s v="MK4125"/>
        <s v="MK70085"/>
        <s v="MK70104"/>
        <s v="MK70109"/>
        <s v="MK70119"/>
        <s v="MK70134"/>
        <s v="S0002"/>
        <s v="U0001"/>
        <s v="WA0001"/>
        <s v="WA0002"/>
        <s v="X0001"/>
        <s v="Y0001"/>
        <s v="Y0006"/>
        <m/>
      </sharedItems>
    </cacheField>
    <cacheField name="AddressLong" numFmtId="0">
      <sharedItems count="36">
        <s v="บริษัท กรุงเทพ ซิตี้สมาร์ท จำกัด (สำนักงานใหญ่) &#10;เลขที่ 170/48 อาคารโอเชี่ยนทาวเวอร์ 1 ชั้น 15 ถ.รัชดาภิเษกตัดใหม่ &#10;แขวงคลองเตย เขตคลองเตย กรุงเทพฯ 10110&#10;Tax ID: 0105548123024"/>
        <s v="บริษัท คาร์บอนทู จำกัด (สำนักงานใหญ่)&#10;170/64,170/66 อาคารโอเชี่ยนทาวเวอร์ 1 ชั้น 21 ซอยสุขุมวิท 16 (สามมิตร) &#10;ถนนรัชดาภิเษกตัดใหม่ แขวงคลองเตย เขตคลองเตย กรุงเทพมหานคร 10110&#10;Tax ID: 0105560178330"/>
        <s v="บริษัท เดอะแวลู พร็อพเพอร์ตี้ ดีเวลลอปเม้นท์ จำกัด (สำนักงานใหญ่)&#10;170/57 อาคารโอเชี่ยนทาวเวอร์ 1 ชั้น 18 ซอยสุขุมวิท 16 (สามมิตร) &#10;ถนนรัชดาภิเษกตัดใหม่ แขวงคลองเตย เขตคลองเตย กรุงเทพมหานคร 10110&#10;Tax ID: 0105545118836"/>
        <s v="บริษัท ไทยบิ๊กเบลลี่ จำกัด (สำนักงานใหญ่) &#10;เลขที่ 170/64,66 อาคารโอเชี่ยนทาวเวอร์ 1 ชั้น 21 ถ.รัชดาภิเษกตัดใหม่ &#10;แขวงคลองเตย เขตคลองเตย กรุงเทพฯ 10110&#10;Tax ID: 0105556036810"/>
        <s v="บริษัท พรีเมี่ยม เรสซิเดนซ์ จำกัด (สำนักงานใหญ่) &#10;170/57 อาคารโอเชี่ยนทาวเวอร์ 1 ชั้น 18 ถ.รัชดาภิเษกตัดใหม่ &#10;แขวงคลองเตย เขตคลองเตย กรุงเทพฯ 10110&#10;Tax ID: 0105556162301"/>
        <s v="บริษัท เอเชี่ยน พร็อพเพอร์ตี้ (2011) จำกัด (สำนักงานใหญ่)&#10;170/57 อาคารโอเชี่ยนทาวเวอร์ 1 ชั้น 18 ถ.รัชดาภิเษกตัดใหม่ &#10;แขวงคลองเตย เขตคลองเตย กรุงเทพฯ 10110&#10;Tax ID: 0105554149013"/>
        <s v="บริษัท เอเชี่ยน พร็อพเพอร์ตี้ (2012) จำกัด (สำนักงานใหญ่)&#10;170/57 อาคารโอเชี่ยนทาวเวอร์ 1 ชั้น 18 ถ.รัชดาภิเษกตัดใหม่ &#10;แขวงคลองเตย เขตคลองเตย กรุงเทพฯ 10110&#10;Tax ID: 0105555003110"/>
        <s v="บริษัท เอเชี่ยน พร็อพเพอร์ตี้ (2013) จำกัด (สำนักงานใหญ่)&#10;170/57 อาคารโอเชี่ยนทาวเวอร์ 1 ชั้น 18 ถ.รัชดาภิเษกตัดใหม่ &#10;แขวงคลองเตย เขตคลองเตย กรุงเทพฯ 10110&#10;Tax ID: 0105556002672"/>
        <s v="บริษัท เอเชี่ยน พร็อพเพอร์ตี้ (2014) จำกัด (สำนักงานใหญ่)&#10;170/57 อาคารโอเชี่ยนทาวเวอร์ 1 ชั้น 18 ถ.รัชดาภิเษกตัดใหม่ &#10;แขวงคลองเตย เขตคลองเตย กรุงเทพฯ 10110&#10;Tax ID: 0105557175490"/>
        <s v="บริษัท เอเชี่ยน พร็อพเพอร์ตี้ (2015) จำกัด (สำนักงานใหญ่)&#10;170/57 อาคารโอเชี่ยนทาวเวอร์ 1 ชั้น 18 ถ.รัชดาภิเษกตัดใหม่ &#10;แขวงคลองเตย เขตคลองเตย กรุงเทพฯ 10110&#10;Tax ID: 0105558021291"/>
        <s v="บริษัท เอเชี่ยน พร็อพเพอร์ตี้ (2017) จำกัด (สำนักงานใหญ่)&#10;170/57 อาคารโอเชี่ยนทาวเวอร์ 1 ชั้น 18 ถ.รัชดาภิเษกตัดใหม่ &#10;แขวงคลองเตย เขตคลองเตย กรุงเทพฯ 10110&#10;Tax ID: 0105560174822"/>
        <s v="บริษัท เอเชี่ยน พร็อพเพอร์ตี้ (2018) จำกัด (สำนักงานใหญ่)&#10;170/57 อาคารโอเชี่ยนทาวเวอร์ 1 ชั้น 18 ถ.รัชดาภิเษกตัดใหม่ &#10;แขวงคลองเตย เขตคลองเตย กรุงเทพฯ 10110&#10;Tax ID: 0105560124515"/>
        <s v="บริษัท เอเชี่ยน พร็อพเพอร์ตี้ (2024) จำกัด (สำนักงานใหญ่)&#10;170/57 อาคารโอเชี่ยนทาวเวอร์ 1 ชั้นที่ 18 ซอยสุขุมวิท 16 (สามมิตร) &#10;ถนนรัชดาภิเษกตัดใหม่ แขวงคลองเตย เขตคลองเตย กรุงเทพมหานคร 10110&#10;Tax ID: 0105559106240"/>
        <s v="บริษัท เอเชี่ยน พร็อพเพอร์ตี้ (กรุงเทพ) จำกัด (สำนักงานใหญ่)&#10;170/57 อาคารโอเชี่ยนทาวเวอร์ 1 ชั้น 18 ถ.รัชดาภิเษกตัดใหม่ &#10;แขวงคลองเตย เขตคลองเตย กรุงเทพฯ 10110&#10;Tax ID: 0105537054875"/>
        <s v="บริษัท เอเชี่ยน พร็อพเพอร์ตี้ จำกัด (สำนักงานใหญ่)&#10;170/57 อาคารโอเชี่ยนทาวเวอร์ 1 ชั้น 18 ถ.รัชดาภิเษกตัดใหม่ &#10;แขวงคลองเตย เขตคลองเตย กรุงเทพฯ 10110&#10;Tax ID: 0105553079178"/>
        <s v="บริษัท เอพี (ไทยแลนด์) จำกัด (มหาชน)&#10;170/57 อาคารโอเชี่ยนทาวเวอร์ 1 ชั้น 18 ถ.รัชดาภิเษกตัดใหม่ &#10;แขวงคลองเตย เขตคลองเตย กรุงเทพฯ 10110&#10;Tax ID: 0107537000149"/>
        <s v="บริษัท เอพี (เพชรบุรี) จำกัด (สำนักงานใหญ่) &#10;170/57 อาคารโอเชี่ยนทาวเวอร์ 1 ชั้น 18 ถ.รัชดาภิเษกตัดใหม่ &#10;แขวงคลองเตย เขตคลองเตย กรุงเทพฯ 10110&#10;Tax ID: 0105557109039"/>
        <s v="บริษัท เอพี (รัชโยธิน) จำกัด (สำนักงานใหญ่) &#10;170/57 อาคารโอเชี่ยนทาวเวอร์ 1 ชั้น 18 ถ.รัชดาภิเษกตัดใหม่ &#10;แขวงคลองเตย เขตคลองเตย กรุงเทพฯ 10110&#10;Tax ID: 0105557183409"/>
        <s v="บริษัท เอพี (เอกมัย) จำกัด (สำนักงานใหญ่) &#10;170/57 อาคารโอเชี่ยนทาวเวอร์ 1 ชั้น 18 ถ.รัชดาภิเษกตัดใหม่ &#10;แขวงคลองเตย เขตคลองเตย กรุงเทพฯ 10110&#10;Tax ID: 0105557063691"/>
        <s v="บริษัท เอพี เอ็มอี (กรุงเทพ) จำกัด (สำนักงานใหญ่) &#10;170/57 อาคารโอเชี่ยนทาวเวอร์ 1 ชั้น 18 ถ.รัชดาภิเษกตัดใหม่ &#10;แขวงคลองเตย เขตคลองเตย กรุงเทพฯ 10110&#10;Tax ID: 0105556162238"/>
        <s v="บริษัท เอพี เอ็มอี (สุขุมวิท) จำกัด (สำนักงานใหญ่) &#10;170/57 อาคารโอเชี่ยนทาวเวอร์ 1 ชั้น 18 ถ.รัชดาภิเษกตัดใหม่ &#10;แขวงคลองเตย เขตคลองเตย กรุงเทพฯ 10110&#10;Tax ID: 0105550124504"/>
        <s v="บริษัท เอพี เอ็มอี (อโศก) จำกัด (สำนักงานใหญ่) &#10;170/57 อาคารโอเชี่ยนทาวเวอร์ 1 ชั้น 18 ถ.รัชดาภิเษกตัดใหม่ &#10;แขวงคลองเตย เขตคลองเตย กรุงเทพฯ 10110&#10;Tax ID: 0105556162246"/>
        <s v="บริษัท เอพี เอ็มอี 1 จำกัด (สำนักงานใหญ่) &#10;170/57 อาคารโอเชี่ยนทาวเวอร์ 1 ชั้น 18 ถ.รัชดาภิเษกตัดใหม่ &#10;แขวงคลองเตย เขตคลองเตย กรุงเทพฯ 10110&#10;Tax ID: 0105558049218"/>
        <s v="บริษัท เอพี เอ็มอี 10 จำกัด (สำนักงานใหญ่) &#10;170/57 อาคารโอเชี่ยนทาวเวอร์ 1 ชั้น 18 ถ.รัชดาภิเษกตัดใหม่ &#10;แขวงคลองเตย เขตคลองเตย กรุงเทพฯ 10110&#10;Tax ID: 0105561049304"/>
        <s v="บริษัท เอพี เอ็มอี 12 จำกัด (สำนักงานใหญ่)&#10;170/57 อาคารโอเชี่ยนทาวเวอร์ 1 ชั้น 18 ถ.รัชดาภิเษกตัดใหม่ &#10;แขวงคลองเตย เขตคลองเตย กรุงเทพฯ 10110&#10;Tax ID: 0105561049452"/>
        <s v="บริษัท เอพี เอ็มอี 14 จำกัด (สำนักงานใหญ่) &#10;170/57 อาคารโอเชี่ยนทาวเวอร์ 1 ชั้น 18 ถ.รัชดาภิเษกตัดใหม่ &#10;แขวงคลองเตย เขตคลองเตย กรุงเทพฯ 10110&#10;Tax ID: 0105561085688"/>
        <s v="บริษัท เอพี เอ็มอี 15 จำกัด (สำนักงานใหญ่)&#10;170/57 อาคารโอเชี่ยนทาวเวอร์ 1 ชั้น 18 ถ.รัชดาภิเษกตัดใหม่ &#10;แขวงคลองเตย เขตคลองเตย กรุงเทพฯ 10110&#10;Tax ID: 0105561212841"/>
        <s v="บริษัท เอพี เอ็มอี 16 จำกัด (สำนักงานใหญ่) &#10;170/57 อาคารโอเชี่ยนทาวเวอร์ 1 ชั้น 18 ถนนรัชดาภิเษกตัดใหม่ &#10;แขวงคลองเตย เขตคลองเตย กรุงเทพฯ 10110&#10;Tax ID: 0105562036753"/>
        <s v="บริษัท เอพี เอ็มอี 18 จำกัด (สำนักงานใหญ่)&#10;170/57 อาคารโอเชี่ยนทาวเวอร์ 1 ชั้น 18 ถนนรัชดาภิเษกตัดใหม่ &#10;แขวงคลองเตย เขตคลองเตย กรุงเทพฯ 10110&#10;Tax ID: 0105562036818"/>
        <s v="บริษัท เอพี เอ็มอี 2 จำกัด (สำนักงานใหญ่) &#10;170/57 อาคารโอเชี่ยนทาวเวอร์ 1 ชั้น 18 ถ.รัชดาภิเษกตัดใหม่ &#10;แขวงคลองเตย เขตคลองเตย กรุงเทพฯ 10110&#10;Tax ID: 0105558067640"/>
        <s v="บริษัท เอพี เอ็มอี 20 จำกัด (สำนักงานใหญ่)&#10;170/57 อาคารโอเชี่ยนทาวเวอร์ 1 ชั้น 18 ถนนรัชดาภิเษกตัดใหม่ &#10;แขวงคลองเตย เขตคลองเตย กรุงเทพฯ 10110&#10;Tax ID: 0105562169842"/>
        <s v="บริษัท เอพี เอ็มอี 3 จำกัด (สำนักงานใหญ่) &#10;170/57 อาคารโอเชี่ยนทาวเวอร์ 1 ชั้น 18 ถ.รัชดาภิเษกตัดใหม่ &#10;แขวงคลองเตย เขตคลองเตย กรุงเทพฯ 10110&#10;Tax ID: 0105558109199"/>
        <s v="บริษัท เอพี เอ็มอี 4 จำกัด (สำนักงานใหญ่) &#10;170/57 อาคารโอเชี่ยนทาวเวอร์ 1 ชั้น 18 ถ.รัชดาภิเษกตัดใหม่ &#10;แขวงคลองเตย เขตคลองเตย กรุงเทพฯ 10110&#10;Tax ID: 0105559070016"/>
        <s v="บริษัท เอพี เอ็มอี 5 จำกัด (สำนักงานใหญ่) &#10;170/57 อาคารโอเชี่ยนทาวเวอร์ 1 ชั้น 18 ถ.รัชดาภิเษกตัดใหม่ &#10;แขวงคลองเตย เขตคลองเตย กรุงเทพฯ 10110&#10;Tax ID: 0105559070024"/>
        <s v="บริษัท เอพี เอ็มอี 6 จำกัด (สำนักงานใหญ่) &#10;170/57 อาคารโอเชี่ยนทาวเวอร์ 1 ชั้น 18 ถ.รัชดาภิเษกตัดใหม่ &#10;แขวงคลองเตย เขตคลองเตย กรุงเทพฯ 10110&#10;Tax ID: 0105560124493"/>
        <s v="บริษัท เอพี เอ็มอี 8 จำกัด (สำนักงานใหญ่) &#10;170/57 อาคารโอเชี่ยนทาวเวอร์ 1 ชั้น 18 ถ.รัชดาภิเษกตัดใหม่ &#10;แขวงคลองเตย เขตคลองเตย กรุงเทพฯ 10110&#10;Tax ID: 010556017563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75">
  <r>
    <x v="100"/>
    <x v="15"/>
    <x v="3"/>
    <x v="1"/>
    <x v="4"/>
    <x v="35"/>
    <x v="174"/>
    <x v="177"/>
    <x v="15"/>
  </r>
  <r>
    <x v="83"/>
    <x v="15"/>
    <x v="3"/>
    <x v="1"/>
    <x v="4"/>
    <x v="35"/>
    <x v="174"/>
    <x v="177"/>
    <x v="15"/>
  </r>
  <r>
    <x v="90"/>
    <x v="15"/>
    <x v="3"/>
    <x v="1"/>
    <x v="4"/>
    <x v="35"/>
    <x v="174"/>
    <x v="177"/>
    <x v="15"/>
  </r>
  <r>
    <x v="72"/>
    <x v="15"/>
    <x v="3"/>
    <x v="1"/>
    <x v="4"/>
    <x v="35"/>
    <x v="174"/>
    <x v="177"/>
    <x v="15"/>
  </r>
  <r>
    <x v="84"/>
    <x v="15"/>
    <x v="3"/>
    <x v="1"/>
    <x v="4"/>
    <x v="35"/>
    <x v="174"/>
    <x v="177"/>
    <x v="15"/>
  </r>
  <r>
    <x v="93"/>
    <x v="15"/>
    <x v="3"/>
    <x v="1"/>
    <x v="4"/>
    <x v="35"/>
    <x v="174"/>
    <x v="177"/>
    <x v="15"/>
  </r>
  <r>
    <x v="40"/>
    <x v="15"/>
    <x v="3"/>
    <x v="1"/>
    <x v="4"/>
    <x v="35"/>
    <x v="174"/>
    <x v="177"/>
    <x v="15"/>
  </r>
  <r>
    <x v="280"/>
    <x v="15"/>
    <x v="3"/>
    <x v="1"/>
    <x v="4"/>
    <x v="35"/>
    <x v="174"/>
    <x v="177"/>
    <x v="15"/>
  </r>
  <r>
    <x v="283"/>
    <x v="15"/>
    <x v="3"/>
    <x v="1"/>
    <x v="4"/>
    <x v="35"/>
    <x v="174"/>
    <x v="177"/>
    <x v="15"/>
  </r>
  <r>
    <x v="296"/>
    <x v="15"/>
    <x v="3"/>
    <x v="1"/>
    <x v="4"/>
    <x v="35"/>
    <x v="174"/>
    <x v="177"/>
    <x v="15"/>
  </r>
  <r>
    <x v="277"/>
    <x v="15"/>
    <x v="3"/>
    <x v="1"/>
    <x v="4"/>
    <x v="35"/>
    <x v="174"/>
    <x v="177"/>
    <x v="15"/>
  </r>
  <r>
    <x v="279"/>
    <x v="15"/>
    <x v="3"/>
    <x v="1"/>
    <x v="4"/>
    <x v="35"/>
    <x v="174"/>
    <x v="177"/>
    <x v="15"/>
  </r>
  <r>
    <x v="260"/>
    <x v="15"/>
    <x v="3"/>
    <x v="1"/>
    <x v="4"/>
    <x v="35"/>
    <x v="174"/>
    <x v="177"/>
    <x v="15"/>
  </r>
  <r>
    <x v="303"/>
    <x v="15"/>
    <x v="3"/>
    <x v="1"/>
    <x v="4"/>
    <x v="35"/>
    <x v="174"/>
    <x v="177"/>
    <x v="15"/>
  </r>
  <r>
    <x v="304"/>
    <x v="15"/>
    <x v="3"/>
    <x v="1"/>
    <x v="4"/>
    <x v="35"/>
    <x v="174"/>
    <x v="177"/>
    <x v="15"/>
  </r>
  <r>
    <x v="301"/>
    <x v="15"/>
    <x v="3"/>
    <x v="1"/>
    <x v="4"/>
    <x v="35"/>
    <x v="174"/>
    <x v="177"/>
    <x v="15"/>
  </r>
  <r>
    <x v="249"/>
    <x v="15"/>
    <x v="3"/>
    <x v="1"/>
    <x v="4"/>
    <x v="35"/>
    <x v="174"/>
    <x v="177"/>
    <x v="15"/>
  </r>
  <r>
    <x v="250"/>
    <x v="15"/>
    <x v="3"/>
    <x v="1"/>
    <x v="4"/>
    <x v="35"/>
    <x v="174"/>
    <x v="177"/>
    <x v="15"/>
  </r>
  <r>
    <x v="251"/>
    <x v="15"/>
    <x v="3"/>
    <x v="1"/>
    <x v="4"/>
    <x v="35"/>
    <x v="174"/>
    <x v="177"/>
    <x v="15"/>
  </r>
  <r>
    <x v="146"/>
    <x v="15"/>
    <x v="3"/>
    <x v="1"/>
    <x v="4"/>
    <x v="35"/>
    <x v="174"/>
    <x v="177"/>
    <x v="15"/>
  </r>
  <r>
    <x v="147"/>
    <x v="15"/>
    <x v="3"/>
    <x v="1"/>
    <x v="4"/>
    <x v="35"/>
    <x v="174"/>
    <x v="177"/>
    <x v="15"/>
  </r>
  <r>
    <x v="148"/>
    <x v="15"/>
    <x v="3"/>
    <x v="1"/>
    <x v="4"/>
    <x v="35"/>
    <x v="174"/>
    <x v="177"/>
    <x v="15"/>
  </r>
  <r>
    <x v="358"/>
    <x v="15"/>
    <x v="3"/>
    <x v="1"/>
    <x v="4"/>
    <x v="35"/>
    <x v="174"/>
    <x v="177"/>
    <x v="15"/>
  </r>
  <r>
    <x v="333"/>
    <x v="15"/>
    <x v="3"/>
    <x v="1"/>
    <x v="4"/>
    <x v="35"/>
    <x v="174"/>
    <x v="177"/>
    <x v="15"/>
  </r>
  <r>
    <x v="322"/>
    <x v="15"/>
    <x v="3"/>
    <x v="1"/>
    <x v="4"/>
    <x v="35"/>
    <x v="174"/>
    <x v="177"/>
    <x v="15"/>
  </r>
  <r>
    <x v="326"/>
    <x v="15"/>
    <x v="3"/>
    <x v="1"/>
    <x v="4"/>
    <x v="35"/>
    <x v="174"/>
    <x v="177"/>
    <x v="15"/>
  </r>
  <r>
    <x v="325"/>
    <x v="15"/>
    <x v="3"/>
    <x v="1"/>
    <x v="4"/>
    <x v="35"/>
    <x v="174"/>
    <x v="177"/>
    <x v="15"/>
  </r>
  <r>
    <x v="332"/>
    <x v="15"/>
    <x v="3"/>
    <x v="1"/>
    <x v="4"/>
    <x v="35"/>
    <x v="174"/>
    <x v="177"/>
    <x v="15"/>
  </r>
  <r>
    <x v="363"/>
    <x v="15"/>
    <x v="3"/>
    <x v="1"/>
    <x v="4"/>
    <x v="35"/>
    <x v="174"/>
    <x v="177"/>
    <x v="15"/>
  </r>
  <r>
    <x v="106"/>
    <x v="15"/>
    <x v="3"/>
    <x v="1"/>
    <x v="4"/>
    <x v="35"/>
    <x v="174"/>
    <x v="177"/>
    <x v="15"/>
  </r>
  <r>
    <x v="353"/>
    <x v="15"/>
    <x v="3"/>
    <x v="1"/>
    <x v="4"/>
    <x v="35"/>
    <x v="174"/>
    <x v="177"/>
    <x v="15"/>
  </r>
  <r>
    <x v="98"/>
    <x v="15"/>
    <x v="3"/>
    <x v="1"/>
    <x v="4"/>
    <x v="35"/>
    <x v="174"/>
    <x v="177"/>
    <x v="15"/>
  </r>
  <r>
    <x v="57"/>
    <x v="15"/>
    <x v="3"/>
    <x v="1"/>
    <x v="4"/>
    <x v="35"/>
    <x v="174"/>
    <x v="177"/>
    <x v="15"/>
  </r>
  <r>
    <x v="74"/>
    <x v="15"/>
    <x v="3"/>
    <x v="1"/>
    <x v="4"/>
    <x v="35"/>
    <x v="174"/>
    <x v="177"/>
    <x v="15"/>
  </r>
  <r>
    <x v="290"/>
    <x v="15"/>
    <x v="3"/>
    <x v="1"/>
    <x v="4"/>
    <x v="35"/>
    <x v="174"/>
    <x v="177"/>
    <x v="15"/>
  </r>
  <r>
    <x v="268"/>
    <x v="15"/>
    <x v="3"/>
    <x v="1"/>
    <x v="4"/>
    <x v="35"/>
    <x v="174"/>
    <x v="177"/>
    <x v="15"/>
  </r>
  <r>
    <x v="70"/>
    <x v="15"/>
    <x v="3"/>
    <x v="1"/>
    <x v="4"/>
    <x v="35"/>
    <x v="174"/>
    <x v="177"/>
    <x v="15"/>
  </r>
  <r>
    <x v="328"/>
    <x v="15"/>
    <x v="3"/>
    <x v="1"/>
    <x v="4"/>
    <x v="35"/>
    <x v="174"/>
    <x v="177"/>
    <x v="15"/>
  </r>
  <r>
    <x v="44"/>
    <x v="15"/>
    <x v="3"/>
    <x v="1"/>
    <x v="4"/>
    <x v="35"/>
    <x v="174"/>
    <x v="177"/>
    <x v="15"/>
  </r>
  <r>
    <x v="201"/>
    <x v="15"/>
    <x v="3"/>
    <x v="1"/>
    <x v="4"/>
    <x v="35"/>
    <x v="174"/>
    <x v="177"/>
    <x v="15"/>
  </r>
  <r>
    <x v="351"/>
    <x v="15"/>
    <x v="3"/>
    <x v="1"/>
    <x v="4"/>
    <x v="35"/>
    <x v="2"/>
    <x v="1"/>
    <x v="15"/>
  </r>
  <r>
    <x v="174"/>
    <x v="15"/>
    <x v="3"/>
    <x v="1"/>
    <x v="4"/>
    <x v="35"/>
    <x v="174"/>
    <x v="177"/>
    <x v="15"/>
  </r>
  <r>
    <x v="184"/>
    <x v="15"/>
    <x v="3"/>
    <x v="1"/>
    <x v="4"/>
    <x v="35"/>
    <x v="174"/>
    <x v="177"/>
    <x v="15"/>
  </r>
  <r>
    <x v="197"/>
    <x v="15"/>
    <x v="3"/>
    <x v="1"/>
    <x v="4"/>
    <x v="35"/>
    <x v="174"/>
    <x v="177"/>
    <x v="15"/>
  </r>
  <r>
    <x v="329"/>
    <x v="15"/>
    <x v="3"/>
    <x v="1"/>
    <x v="4"/>
    <x v="35"/>
    <x v="174"/>
    <x v="177"/>
    <x v="15"/>
  </r>
  <r>
    <x v="337"/>
    <x v="15"/>
    <x v="3"/>
    <x v="1"/>
    <x v="4"/>
    <x v="35"/>
    <x v="174"/>
    <x v="177"/>
    <x v="15"/>
  </r>
  <r>
    <x v="356"/>
    <x v="15"/>
    <x v="3"/>
    <x v="1"/>
    <x v="4"/>
    <x v="35"/>
    <x v="174"/>
    <x v="177"/>
    <x v="15"/>
  </r>
  <r>
    <x v="323"/>
    <x v="15"/>
    <x v="3"/>
    <x v="1"/>
    <x v="4"/>
    <x v="35"/>
    <x v="174"/>
    <x v="177"/>
    <x v="15"/>
  </r>
  <r>
    <x v="330"/>
    <x v="15"/>
    <x v="3"/>
    <x v="1"/>
    <x v="4"/>
    <x v="35"/>
    <x v="174"/>
    <x v="177"/>
    <x v="15"/>
  </r>
  <r>
    <x v="350"/>
    <x v="15"/>
    <x v="3"/>
    <x v="1"/>
    <x v="4"/>
    <x v="35"/>
    <x v="174"/>
    <x v="177"/>
    <x v="15"/>
  </r>
  <r>
    <x v="341"/>
    <x v="15"/>
    <x v="3"/>
    <x v="1"/>
    <x v="4"/>
    <x v="35"/>
    <x v="174"/>
    <x v="177"/>
    <x v="15"/>
  </r>
  <r>
    <x v="324"/>
    <x v="15"/>
    <x v="3"/>
    <x v="1"/>
    <x v="4"/>
    <x v="35"/>
    <x v="174"/>
    <x v="177"/>
    <x v="15"/>
  </r>
  <r>
    <x v="340"/>
    <x v="15"/>
    <x v="3"/>
    <x v="1"/>
    <x v="4"/>
    <x v="35"/>
    <x v="174"/>
    <x v="177"/>
    <x v="15"/>
  </r>
  <r>
    <x v="361"/>
    <x v="15"/>
    <x v="3"/>
    <x v="1"/>
    <x v="4"/>
    <x v="35"/>
    <x v="174"/>
    <x v="177"/>
    <x v="15"/>
  </r>
  <r>
    <x v="315"/>
    <x v="15"/>
    <x v="3"/>
    <x v="1"/>
    <x v="4"/>
    <x v="35"/>
    <x v="174"/>
    <x v="177"/>
    <x v="15"/>
  </r>
  <r>
    <x v="107"/>
    <x v="15"/>
    <x v="3"/>
    <x v="1"/>
    <x v="4"/>
    <x v="35"/>
    <x v="174"/>
    <x v="177"/>
    <x v="15"/>
  </r>
  <r>
    <x v="12"/>
    <x v="15"/>
    <x v="3"/>
    <x v="1"/>
    <x v="4"/>
    <x v="35"/>
    <x v="174"/>
    <x v="177"/>
    <x v="15"/>
  </r>
  <r>
    <x v="18"/>
    <x v="15"/>
    <x v="3"/>
    <x v="1"/>
    <x v="4"/>
    <x v="35"/>
    <x v="174"/>
    <x v="177"/>
    <x v="15"/>
  </r>
  <r>
    <x v="16"/>
    <x v="15"/>
    <x v="3"/>
    <x v="1"/>
    <x v="4"/>
    <x v="35"/>
    <x v="174"/>
    <x v="177"/>
    <x v="15"/>
  </r>
  <r>
    <x v="17"/>
    <x v="15"/>
    <x v="3"/>
    <x v="1"/>
    <x v="4"/>
    <x v="35"/>
    <x v="174"/>
    <x v="177"/>
    <x v="15"/>
  </r>
  <r>
    <x v="10"/>
    <x v="15"/>
    <x v="3"/>
    <x v="1"/>
    <x v="4"/>
    <x v="35"/>
    <x v="174"/>
    <x v="177"/>
    <x v="15"/>
  </r>
  <r>
    <x v="22"/>
    <x v="15"/>
    <x v="3"/>
    <x v="1"/>
    <x v="4"/>
    <x v="35"/>
    <x v="174"/>
    <x v="177"/>
    <x v="15"/>
  </r>
  <r>
    <x v="140"/>
    <x v="15"/>
    <x v="3"/>
    <x v="1"/>
    <x v="4"/>
    <x v="35"/>
    <x v="174"/>
    <x v="177"/>
    <x v="15"/>
  </r>
  <r>
    <x v="242"/>
    <x v="15"/>
    <x v="3"/>
    <x v="1"/>
    <x v="4"/>
    <x v="35"/>
    <x v="174"/>
    <x v="177"/>
    <x v="15"/>
  </r>
  <r>
    <x v="246"/>
    <x v="15"/>
    <x v="3"/>
    <x v="1"/>
    <x v="4"/>
    <x v="35"/>
    <x v="174"/>
    <x v="177"/>
    <x v="15"/>
  </r>
  <r>
    <x v="228"/>
    <x v="15"/>
    <x v="3"/>
    <x v="1"/>
    <x v="4"/>
    <x v="35"/>
    <x v="174"/>
    <x v="177"/>
    <x v="15"/>
  </r>
  <r>
    <x v="128"/>
    <x v="15"/>
    <x v="3"/>
    <x v="1"/>
    <x v="4"/>
    <x v="35"/>
    <x v="174"/>
    <x v="177"/>
    <x v="15"/>
  </r>
  <r>
    <x v="198"/>
    <x v="15"/>
    <x v="3"/>
    <x v="1"/>
    <x v="4"/>
    <x v="35"/>
    <x v="174"/>
    <x v="177"/>
    <x v="15"/>
  </r>
  <r>
    <x v="178"/>
    <x v="15"/>
    <x v="3"/>
    <x v="1"/>
    <x v="4"/>
    <x v="35"/>
    <x v="174"/>
    <x v="177"/>
    <x v="15"/>
  </r>
  <r>
    <x v="190"/>
    <x v="15"/>
    <x v="3"/>
    <x v="1"/>
    <x v="4"/>
    <x v="35"/>
    <x v="174"/>
    <x v="177"/>
    <x v="15"/>
  </r>
  <r>
    <x v="205"/>
    <x v="15"/>
    <x v="3"/>
    <x v="1"/>
    <x v="4"/>
    <x v="35"/>
    <x v="174"/>
    <x v="177"/>
    <x v="15"/>
  </r>
  <r>
    <x v="230"/>
    <x v="15"/>
    <x v="3"/>
    <x v="1"/>
    <x v="4"/>
    <x v="35"/>
    <x v="174"/>
    <x v="177"/>
    <x v="15"/>
  </r>
  <r>
    <x v="211"/>
    <x v="15"/>
    <x v="3"/>
    <x v="1"/>
    <x v="4"/>
    <x v="35"/>
    <x v="174"/>
    <x v="177"/>
    <x v="15"/>
  </r>
  <r>
    <x v="109"/>
    <x v="15"/>
    <x v="3"/>
    <x v="1"/>
    <x v="4"/>
    <x v="35"/>
    <x v="174"/>
    <x v="177"/>
    <x v="15"/>
  </r>
  <r>
    <x v="141"/>
    <x v="15"/>
    <x v="3"/>
    <x v="1"/>
    <x v="4"/>
    <x v="35"/>
    <x v="174"/>
    <x v="177"/>
    <x v="15"/>
  </r>
  <r>
    <x v="121"/>
    <x v="15"/>
    <x v="3"/>
    <x v="1"/>
    <x v="4"/>
    <x v="35"/>
    <x v="174"/>
    <x v="177"/>
    <x v="15"/>
  </r>
  <r>
    <x v="266"/>
    <x v="15"/>
    <x v="3"/>
    <x v="1"/>
    <x v="4"/>
    <x v="35"/>
    <x v="174"/>
    <x v="177"/>
    <x v="15"/>
  </r>
  <r>
    <x v="267"/>
    <x v="15"/>
    <x v="3"/>
    <x v="1"/>
    <x v="4"/>
    <x v="35"/>
    <x v="174"/>
    <x v="177"/>
    <x v="15"/>
  </r>
  <r>
    <x v="32"/>
    <x v="15"/>
    <x v="3"/>
    <x v="1"/>
    <x v="4"/>
    <x v="35"/>
    <x v="174"/>
    <x v="177"/>
    <x v="15"/>
  </r>
  <r>
    <x v="62"/>
    <x v="15"/>
    <x v="3"/>
    <x v="1"/>
    <x v="4"/>
    <x v="35"/>
    <x v="1"/>
    <x v="68"/>
    <x v="15"/>
  </r>
  <r>
    <x v="227"/>
    <x v="15"/>
    <x v="3"/>
    <x v="1"/>
    <x v="4"/>
    <x v="35"/>
    <x v="174"/>
    <x v="177"/>
    <x v="15"/>
  </r>
  <r>
    <x v="360"/>
    <x v="15"/>
    <x v="3"/>
    <x v="1"/>
    <x v="4"/>
    <x v="35"/>
    <x v="174"/>
    <x v="177"/>
    <x v="15"/>
  </r>
  <r>
    <x v="210"/>
    <x v="15"/>
    <x v="3"/>
    <x v="1"/>
    <x v="4"/>
    <x v="35"/>
    <x v="174"/>
    <x v="177"/>
    <x v="15"/>
  </r>
  <r>
    <x v="294"/>
    <x v="15"/>
    <x v="3"/>
    <x v="1"/>
    <x v="4"/>
    <x v="35"/>
    <x v="174"/>
    <x v="177"/>
    <x v="15"/>
  </r>
  <r>
    <x v="269"/>
    <x v="15"/>
    <x v="3"/>
    <x v="1"/>
    <x v="4"/>
    <x v="35"/>
    <x v="174"/>
    <x v="177"/>
    <x v="15"/>
  </r>
  <r>
    <x v="300"/>
    <x v="15"/>
    <x v="3"/>
    <x v="1"/>
    <x v="4"/>
    <x v="35"/>
    <x v="174"/>
    <x v="177"/>
    <x v="15"/>
  </r>
  <r>
    <x v="194"/>
    <x v="2"/>
    <x v="35"/>
    <x v="0"/>
    <x v="5"/>
    <x v="1"/>
    <x v="174"/>
    <x v="177"/>
    <x v="2"/>
  </r>
  <r>
    <x v="189"/>
    <x v="2"/>
    <x v="35"/>
    <x v="0"/>
    <x v="5"/>
    <x v="1"/>
    <x v="174"/>
    <x v="177"/>
    <x v="2"/>
  </r>
  <r>
    <x v="208"/>
    <x v="2"/>
    <x v="35"/>
    <x v="0"/>
    <x v="5"/>
    <x v="1"/>
    <x v="174"/>
    <x v="177"/>
    <x v="2"/>
  </r>
  <r>
    <x v="102"/>
    <x v="2"/>
    <x v="35"/>
    <x v="0"/>
    <x v="5"/>
    <x v="1"/>
    <x v="174"/>
    <x v="177"/>
    <x v="2"/>
  </r>
  <r>
    <x v="200"/>
    <x v="2"/>
    <x v="35"/>
    <x v="0"/>
    <x v="5"/>
    <x v="1"/>
    <x v="174"/>
    <x v="177"/>
    <x v="2"/>
  </r>
  <r>
    <x v="207"/>
    <x v="2"/>
    <x v="35"/>
    <x v="0"/>
    <x v="5"/>
    <x v="1"/>
    <x v="174"/>
    <x v="177"/>
    <x v="2"/>
  </r>
  <r>
    <x v="222"/>
    <x v="2"/>
    <x v="35"/>
    <x v="0"/>
    <x v="5"/>
    <x v="1"/>
    <x v="174"/>
    <x v="177"/>
    <x v="2"/>
  </r>
  <r>
    <x v="202"/>
    <x v="2"/>
    <x v="35"/>
    <x v="0"/>
    <x v="5"/>
    <x v="1"/>
    <x v="174"/>
    <x v="177"/>
    <x v="2"/>
  </r>
  <r>
    <x v="122"/>
    <x v="2"/>
    <x v="35"/>
    <x v="0"/>
    <x v="5"/>
    <x v="1"/>
    <x v="97"/>
    <x v="98"/>
    <x v="2"/>
  </r>
  <r>
    <x v="89"/>
    <x v="2"/>
    <x v="35"/>
    <x v="0"/>
    <x v="5"/>
    <x v="1"/>
    <x v="174"/>
    <x v="177"/>
    <x v="2"/>
  </r>
  <r>
    <x v="186"/>
    <x v="2"/>
    <x v="35"/>
    <x v="0"/>
    <x v="5"/>
    <x v="1"/>
    <x v="174"/>
    <x v="177"/>
    <x v="2"/>
  </r>
  <r>
    <x v="305"/>
    <x v="2"/>
    <x v="35"/>
    <x v="0"/>
    <x v="5"/>
    <x v="1"/>
    <x v="174"/>
    <x v="177"/>
    <x v="2"/>
  </r>
  <r>
    <x v="212"/>
    <x v="2"/>
    <x v="35"/>
    <x v="0"/>
    <x v="5"/>
    <x v="1"/>
    <x v="104"/>
    <x v="105"/>
    <x v="2"/>
  </r>
  <r>
    <x v="339"/>
    <x v="2"/>
    <x v="35"/>
    <x v="0"/>
    <x v="5"/>
    <x v="1"/>
    <x v="174"/>
    <x v="177"/>
    <x v="2"/>
  </r>
  <r>
    <x v="8"/>
    <x v="2"/>
    <x v="35"/>
    <x v="0"/>
    <x v="5"/>
    <x v="1"/>
    <x v="174"/>
    <x v="177"/>
    <x v="2"/>
  </r>
  <r>
    <x v="13"/>
    <x v="2"/>
    <x v="35"/>
    <x v="0"/>
    <x v="5"/>
    <x v="1"/>
    <x v="174"/>
    <x v="177"/>
    <x v="2"/>
  </r>
  <r>
    <x v="26"/>
    <x v="2"/>
    <x v="35"/>
    <x v="0"/>
    <x v="5"/>
    <x v="1"/>
    <x v="174"/>
    <x v="177"/>
    <x v="2"/>
  </r>
  <r>
    <x v="234"/>
    <x v="2"/>
    <x v="35"/>
    <x v="0"/>
    <x v="5"/>
    <x v="1"/>
    <x v="174"/>
    <x v="177"/>
    <x v="2"/>
  </r>
  <r>
    <x v="344"/>
    <x v="2"/>
    <x v="35"/>
    <x v="0"/>
    <x v="5"/>
    <x v="1"/>
    <x v="174"/>
    <x v="177"/>
    <x v="2"/>
  </r>
  <r>
    <x v="175"/>
    <x v="2"/>
    <x v="35"/>
    <x v="0"/>
    <x v="5"/>
    <x v="1"/>
    <x v="174"/>
    <x v="177"/>
    <x v="2"/>
  </r>
  <r>
    <x v="176"/>
    <x v="2"/>
    <x v="35"/>
    <x v="0"/>
    <x v="5"/>
    <x v="1"/>
    <x v="174"/>
    <x v="177"/>
    <x v="2"/>
  </r>
  <r>
    <x v="219"/>
    <x v="2"/>
    <x v="35"/>
    <x v="0"/>
    <x v="5"/>
    <x v="1"/>
    <x v="174"/>
    <x v="177"/>
    <x v="2"/>
  </r>
  <r>
    <x v="126"/>
    <x v="2"/>
    <x v="35"/>
    <x v="0"/>
    <x v="5"/>
    <x v="1"/>
    <x v="98"/>
    <x v="99"/>
    <x v="2"/>
  </r>
  <r>
    <x v="225"/>
    <x v="2"/>
    <x v="35"/>
    <x v="0"/>
    <x v="5"/>
    <x v="1"/>
    <x v="174"/>
    <x v="177"/>
    <x v="2"/>
  </r>
  <r>
    <x v="51"/>
    <x v="2"/>
    <x v="35"/>
    <x v="0"/>
    <x v="5"/>
    <x v="1"/>
    <x v="174"/>
    <x v="177"/>
    <x v="2"/>
  </r>
  <r>
    <x v="299"/>
    <x v="2"/>
    <x v="35"/>
    <x v="0"/>
    <x v="5"/>
    <x v="1"/>
    <x v="96"/>
    <x v="97"/>
    <x v="2"/>
  </r>
  <r>
    <x v="255"/>
    <x v="14"/>
    <x v="30"/>
    <x v="1"/>
    <x v="4"/>
    <x v="4"/>
    <x v="174"/>
    <x v="177"/>
    <x v="14"/>
  </r>
  <r>
    <x v="220"/>
    <x v="14"/>
    <x v="30"/>
    <x v="1"/>
    <x v="4"/>
    <x v="4"/>
    <x v="174"/>
    <x v="177"/>
    <x v="14"/>
  </r>
  <r>
    <x v="27"/>
    <x v="14"/>
    <x v="30"/>
    <x v="1"/>
    <x v="4"/>
    <x v="4"/>
    <x v="27"/>
    <x v="26"/>
    <x v="14"/>
  </r>
  <r>
    <x v="105"/>
    <x v="14"/>
    <x v="30"/>
    <x v="1"/>
    <x v="4"/>
    <x v="4"/>
    <x v="174"/>
    <x v="177"/>
    <x v="14"/>
  </r>
  <r>
    <x v="65"/>
    <x v="14"/>
    <x v="30"/>
    <x v="1"/>
    <x v="4"/>
    <x v="4"/>
    <x v="174"/>
    <x v="177"/>
    <x v="14"/>
  </r>
  <r>
    <x v="193"/>
    <x v="14"/>
    <x v="30"/>
    <x v="1"/>
    <x v="4"/>
    <x v="4"/>
    <x v="174"/>
    <x v="177"/>
    <x v="14"/>
  </r>
  <r>
    <x v="231"/>
    <x v="14"/>
    <x v="30"/>
    <x v="1"/>
    <x v="4"/>
    <x v="4"/>
    <x v="174"/>
    <x v="177"/>
    <x v="14"/>
  </r>
  <r>
    <x v="129"/>
    <x v="14"/>
    <x v="30"/>
    <x v="1"/>
    <x v="4"/>
    <x v="4"/>
    <x v="174"/>
    <x v="177"/>
    <x v="14"/>
  </r>
  <r>
    <x v="181"/>
    <x v="14"/>
    <x v="30"/>
    <x v="1"/>
    <x v="4"/>
    <x v="4"/>
    <x v="29"/>
    <x v="28"/>
    <x v="14"/>
  </r>
  <r>
    <x v="173"/>
    <x v="14"/>
    <x v="30"/>
    <x v="1"/>
    <x v="4"/>
    <x v="4"/>
    <x v="34"/>
    <x v="33"/>
    <x v="14"/>
  </r>
  <r>
    <x v="101"/>
    <x v="14"/>
    <x v="30"/>
    <x v="1"/>
    <x v="4"/>
    <x v="4"/>
    <x v="28"/>
    <x v="27"/>
    <x v="14"/>
  </r>
  <r>
    <x v="64"/>
    <x v="14"/>
    <x v="30"/>
    <x v="1"/>
    <x v="4"/>
    <x v="4"/>
    <x v="174"/>
    <x v="177"/>
    <x v="14"/>
  </r>
  <r>
    <x v="36"/>
    <x v="14"/>
    <x v="30"/>
    <x v="1"/>
    <x v="4"/>
    <x v="4"/>
    <x v="174"/>
    <x v="177"/>
    <x v="14"/>
  </r>
  <r>
    <x v="223"/>
    <x v="14"/>
    <x v="30"/>
    <x v="1"/>
    <x v="4"/>
    <x v="4"/>
    <x v="174"/>
    <x v="177"/>
    <x v="14"/>
  </r>
  <r>
    <x v="14"/>
    <x v="14"/>
    <x v="30"/>
    <x v="1"/>
    <x v="4"/>
    <x v="4"/>
    <x v="174"/>
    <x v="177"/>
    <x v="14"/>
  </r>
  <r>
    <x v="28"/>
    <x v="14"/>
    <x v="30"/>
    <x v="1"/>
    <x v="4"/>
    <x v="4"/>
    <x v="174"/>
    <x v="177"/>
    <x v="14"/>
  </r>
  <r>
    <x v="15"/>
    <x v="14"/>
    <x v="30"/>
    <x v="1"/>
    <x v="4"/>
    <x v="4"/>
    <x v="174"/>
    <x v="177"/>
    <x v="14"/>
  </r>
  <r>
    <x v="49"/>
    <x v="14"/>
    <x v="30"/>
    <x v="1"/>
    <x v="4"/>
    <x v="4"/>
    <x v="174"/>
    <x v="177"/>
    <x v="14"/>
  </r>
  <r>
    <x v="352"/>
    <x v="14"/>
    <x v="30"/>
    <x v="1"/>
    <x v="4"/>
    <x v="4"/>
    <x v="32"/>
    <x v="31"/>
    <x v="14"/>
  </r>
  <r>
    <x v="342"/>
    <x v="14"/>
    <x v="30"/>
    <x v="1"/>
    <x v="4"/>
    <x v="4"/>
    <x v="33"/>
    <x v="32"/>
    <x v="14"/>
  </r>
  <r>
    <x v="37"/>
    <x v="14"/>
    <x v="30"/>
    <x v="1"/>
    <x v="4"/>
    <x v="4"/>
    <x v="174"/>
    <x v="177"/>
    <x v="14"/>
  </r>
  <r>
    <x v="34"/>
    <x v="14"/>
    <x v="30"/>
    <x v="1"/>
    <x v="4"/>
    <x v="4"/>
    <x v="174"/>
    <x v="177"/>
    <x v="14"/>
  </r>
  <r>
    <x v="213"/>
    <x v="14"/>
    <x v="30"/>
    <x v="1"/>
    <x v="4"/>
    <x v="4"/>
    <x v="31"/>
    <x v="30"/>
    <x v="14"/>
  </r>
  <r>
    <x v="215"/>
    <x v="14"/>
    <x v="30"/>
    <x v="1"/>
    <x v="4"/>
    <x v="4"/>
    <x v="174"/>
    <x v="177"/>
    <x v="14"/>
  </r>
  <r>
    <x v="24"/>
    <x v="14"/>
    <x v="30"/>
    <x v="1"/>
    <x v="4"/>
    <x v="4"/>
    <x v="174"/>
    <x v="177"/>
    <x v="14"/>
  </r>
  <r>
    <x v="117"/>
    <x v="14"/>
    <x v="30"/>
    <x v="1"/>
    <x v="4"/>
    <x v="4"/>
    <x v="40"/>
    <x v="39"/>
    <x v="14"/>
  </r>
  <r>
    <x v="94"/>
    <x v="14"/>
    <x v="30"/>
    <x v="1"/>
    <x v="4"/>
    <x v="4"/>
    <x v="174"/>
    <x v="177"/>
    <x v="14"/>
  </r>
  <r>
    <x v="289"/>
    <x v="14"/>
    <x v="30"/>
    <x v="1"/>
    <x v="4"/>
    <x v="4"/>
    <x v="36"/>
    <x v="35"/>
    <x v="14"/>
  </r>
  <r>
    <x v="243"/>
    <x v="5"/>
    <x v="21"/>
    <x v="1"/>
    <x v="4"/>
    <x v="5"/>
    <x v="174"/>
    <x v="177"/>
    <x v="5"/>
  </r>
  <r>
    <x v="245"/>
    <x v="7"/>
    <x v="23"/>
    <x v="1"/>
    <x v="4"/>
    <x v="7"/>
    <x v="174"/>
    <x v="177"/>
    <x v="7"/>
  </r>
  <r>
    <x v="20"/>
    <x v="8"/>
    <x v="24"/>
    <x v="1"/>
    <x v="4"/>
    <x v="14"/>
    <x v="174"/>
    <x v="177"/>
    <x v="8"/>
  </r>
  <r>
    <x v="244"/>
    <x v="20"/>
    <x v="6"/>
    <x v="1"/>
    <x v="4"/>
    <x v="3"/>
    <x v="174"/>
    <x v="177"/>
    <x v="20"/>
  </r>
  <r>
    <x v="11"/>
    <x v="19"/>
    <x v="5"/>
    <x v="1"/>
    <x v="4"/>
    <x v="9"/>
    <x v="174"/>
    <x v="177"/>
    <x v="19"/>
  </r>
  <r>
    <x v="247"/>
    <x v="21"/>
    <x v="4"/>
    <x v="1"/>
    <x v="4"/>
    <x v="10"/>
    <x v="174"/>
    <x v="177"/>
    <x v="21"/>
  </r>
  <r>
    <x v="19"/>
    <x v="4"/>
    <x v="33"/>
    <x v="1"/>
    <x v="4"/>
    <x v="11"/>
    <x v="174"/>
    <x v="177"/>
    <x v="4"/>
  </r>
  <r>
    <x v="143"/>
    <x v="16"/>
    <x v="1"/>
    <x v="1"/>
    <x v="4"/>
    <x v="13"/>
    <x v="174"/>
    <x v="177"/>
    <x v="16"/>
  </r>
  <r>
    <x v="241"/>
    <x v="9"/>
    <x v="25"/>
    <x v="1"/>
    <x v="4"/>
    <x v="16"/>
    <x v="174"/>
    <x v="177"/>
    <x v="9"/>
  </r>
  <r>
    <x v="138"/>
    <x v="22"/>
    <x v="7"/>
    <x v="1"/>
    <x v="4"/>
    <x v="17"/>
    <x v="174"/>
    <x v="177"/>
    <x v="22"/>
  </r>
  <r>
    <x v="204"/>
    <x v="13"/>
    <x v="28"/>
    <x v="1"/>
    <x v="4"/>
    <x v="0"/>
    <x v="174"/>
    <x v="177"/>
    <x v="13"/>
  </r>
  <r>
    <x v="343"/>
    <x v="13"/>
    <x v="28"/>
    <x v="1"/>
    <x v="4"/>
    <x v="0"/>
    <x v="174"/>
    <x v="177"/>
    <x v="13"/>
  </r>
  <r>
    <x v="265"/>
    <x v="13"/>
    <x v="28"/>
    <x v="1"/>
    <x v="4"/>
    <x v="0"/>
    <x v="174"/>
    <x v="177"/>
    <x v="13"/>
  </r>
  <r>
    <x v="335"/>
    <x v="13"/>
    <x v="28"/>
    <x v="1"/>
    <x v="4"/>
    <x v="0"/>
    <x v="5"/>
    <x v="4"/>
    <x v="13"/>
  </r>
  <r>
    <x v="282"/>
    <x v="13"/>
    <x v="28"/>
    <x v="1"/>
    <x v="4"/>
    <x v="0"/>
    <x v="174"/>
    <x v="177"/>
    <x v="13"/>
  </r>
  <r>
    <x v="346"/>
    <x v="13"/>
    <x v="28"/>
    <x v="1"/>
    <x v="4"/>
    <x v="0"/>
    <x v="6"/>
    <x v="5"/>
    <x v="13"/>
  </r>
  <r>
    <x v="218"/>
    <x v="13"/>
    <x v="28"/>
    <x v="1"/>
    <x v="4"/>
    <x v="0"/>
    <x v="174"/>
    <x v="177"/>
    <x v="13"/>
  </r>
  <r>
    <x v="348"/>
    <x v="13"/>
    <x v="28"/>
    <x v="1"/>
    <x v="4"/>
    <x v="0"/>
    <x v="174"/>
    <x v="177"/>
    <x v="13"/>
  </r>
  <r>
    <x v="86"/>
    <x v="13"/>
    <x v="28"/>
    <x v="1"/>
    <x v="4"/>
    <x v="0"/>
    <x v="174"/>
    <x v="177"/>
    <x v="13"/>
  </r>
  <r>
    <x v="195"/>
    <x v="13"/>
    <x v="28"/>
    <x v="1"/>
    <x v="4"/>
    <x v="0"/>
    <x v="174"/>
    <x v="177"/>
    <x v="13"/>
  </r>
  <r>
    <x v="316"/>
    <x v="13"/>
    <x v="28"/>
    <x v="1"/>
    <x v="4"/>
    <x v="0"/>
    <x v="174"/>
    <x v="177"/>
    <x v="13"/>
  </r>
  <r>
    <x v="306"/>
    <x v="6"/>
    <x v="22"/>
    <x v="1"/>
    <x v="4"/>
    <x v="6"/>
    <x v="174"/>
    <x v="177"/>
    <x v="6"/>
  </r>
  <r>
    <x v="30"/>
    <x v="0"/>
    <x v="32"/>
    <x v="5"/>
    <x v="1"/>
    <x v="2"/>
    <x v="174"/>
    <x v="177"/>
    <x v="0"/>
  </r>
  <r>
    <x v="334"/>
    <x v="3"/>
    <x v="34"/>
    <x v="6"/>
    <x v="4"/>
    <x v="8"/>
    <x v="174"/>
    <x v="177"/>
    <x v="3"/>
  </r>
  <r>
    <x v="132"/>
    <x v="29"/>
    <x v="14"/>
    <x v="1"/>
    <x v="4"/>
    <x v="18"/>
    <x v="174"/>
    <x v="177"/>
    <x v="29"/>
  </r>
  <r>
    <x v="238"/>
    <x v="18"/>
    <x v="0"/>
    <x v="1"/>
    <x v="4"/>
    <x v="12"/>
    <x v="174"/>
    <x v="177"/>
    <x v="18"/>
  </r>
  <r>
    <x v="239"/>
    <x v="25"/>
    <x v="10"/>
    <x v="1"/>
    <x v="4"/>
    <x v="30"/>
    <x v="154"/>
    <x v="150"/>
    <x v="25"/>
  </r>
  <r>
    <x v="134"/>
    <x v="17"/>
    <x v="2"/>
    <x v="1"/>
    <x v="4"/>
    <x v="15"/>
    <x v="174"/>
    <x v="177"/>
    <x v="17"/>
  </r>
  <r>
    <x v="144"/>
    <x v="31"/>
    <x v="16"/>
    <x v="1"/>
    <x v="4"/>
    <x v="19"/>
    <x v="174"/>
    <x v="177"/>
    <x v="31"/>
  </r>
  <r>
    <x v="133"/>
    <x v="31"/>
    <x v="16"/>
    <x v="1"/>
    <x v="4"/>
    <x v="19"/>
    <x v="169"/>
    <x v="170"/>
    <x v="31"/>
  </r>
  <r>
    <x v="142"/>
    <x v="33"/>
    <x v="18"/>
    <x v="1"/>
    <x v="4"/>
    <x v="21"/>
    <x v="174"/>
    <x v="177"/>
    <x v="33"/>
  </r>
  <r>
    <x v="135"/>
    <x v="32"/>
    <x v="17"/>
    <x v="1"/>
    <x v="4"/>
    <x v="20"/>
    <x v="170"/>
    <x v="171"/>
    <x v="32"/>
  </r>
  <r>
    <x v="310"/>
    <x v="10"/>
    <x v="26"/>
    <x v="1"/>
    <x v="4"/>
    <x v="25"/>
    <x v="174"/>
    <x v="177"/>
    <x v="10"/>
  </r>
  <r>
    <x v="327"/>
    <x v="10"/>
    <x v="26"/>
    <x v="1"/>
    <x v="4"/>
    <x v="25"/>
    <x v="150"/>
    <x v="146"/>
    <x v="10"/>
  </r>
  <r>
    <x v="311"/>
    <x v="10"/>
    <x v="26"/>
    <x v="1"/>
    <x v="4"/>
    <x v="25"/>
    <x v="174"/>
    <x v="177"/>
    <x v="10"/>
  </r>
  <r>
    <x v="180"/>
    <x v="10"/>
    <x v="26"/>
    <x v="1"/>
    <x v="4"/>
    <x v="25"/>
    <x v="151"/>
    <x v="147"/>
    <x v="10"/>
  </r>
  <r>
    <x v="23"/>
    <x v="11"/>
    <x v="27"/>
    <x v="1"/>
    <x v="4"/>
    <x v="24"/>
    <x v="172"/>
    <x v="175"/>
    <x v="11"/>
  </r>
  <r>
    <x v="253"/>
    <x v="34"/>
    <x v="19"/>
    <x v="1"/>
    <x v="4"/>
    <x v="23"/>
    <x v="171"/>
    <x v="174"/>
    <x v="34"/>
  </r>
  <r>
    <x v="137"/>
    <x v="35"/>
    <x v="20"/>
    <x v="1"/>
    <x v="4"/>
    <x v="26"/>
    <x v="149"/>
    <x v="145"/>
    <x v="35"/>
  </r>
  <r>
    <x v="43"/>
    <x v="2"/>
    <x v="35"/>
    <x v="0"/>
    <x v="5"/>
    <x v="1"/>
    <x v="174"/>
    <x v="177"/>
    <x v="2"/>
  </r>
  <r>
    <x v="295"/>
    <x v="2"/>
    <x v="35"/>
    <x v="0"/>
    <x v="5"/>
    <x v="1"/>
    <x v="102"/>
    <x v="103"/>
    <x v="2"/>
  </r>
  <r>
    <x v="237"/>
    <x v="23"/>
    <x v="8"/>
    <x v="1"/>
    <x v="4"/>
    <x v="28"/>
    <x v="152"/>
    <x v="148"/>
    <x v="23"/>
  </r>
  <r>
    <x v="217"/>
    <x v="2"/>
    <x v="35"/>
    <x v="0"/>
    <x v="5"/>
    <x v="1"/>
    <x v="174"/>
    <x v="177"/>
    <x v="2"/>
  </r>
  <r>
    <x v="196"/>
    <x v="2"/>
    <x v="35"/>
    <x v="0"/>
    <x v="5"/>
    <x v="1"/>
    <x v="107"/>
    <x v="108"/>
    <x v="2"/>
  </r>
  <r>
    <x v="35"/>
    <x v="2"/>
    <x v="35"/>
    <x v="0"/>
    <x v="5"/>
    <x v="1"/>
    <x v="99"/>
    <x v="100"/>
    <x v="2"/>
  </r>
  <r>
    <x v="50"/>
    <x v="14"/>
    <x v="30"/>
    <x v="1"/>
    <x v="4"/>
    <x v="4"/>
    <x v="35"/>
    <x v="34"/>
    <x v="14"/>
  </r>
  <r>
    <x v="103"/>
    <x v="13"/>
    <x v="28"/>
    <x v="1"/>
    <x v="4"/>
    <x v="0"/>
    <x v="7"/>
    <x v="6"/>
    <x v="13"/>
  </r>
  <r>
    <x v="55"/>
    <x v="2"/>
    <x v="35"/>
    <x v="0"/>
    <x v="5"/>
    <x v="1"/>
    <x v="112"/>
    <x v="113"/>
    <x v="2"/>
  </r>
  <r>
    <x v="97"/>
    <x v="2"/>
    <x v="35"/>
    <x v="0"/>
    <x v="5"/>
    <x v="1"/>
    <x v="113"/>
    <x v="114"/>
    <x v="2"/>
  </r>
  <r>
    <x v="287"/>
    <x v="2"/>
    <x v="35"/>
    <x v="0"/>
    <x v="5"/>
    <x v="1"/>
    <x v="111"/>
    <x v="112"/>
    <x v="2"/>
  </r>
  <r>
    <x v="293"/>
    <x v="2"/>
    <x v="35"/>
    <x v="0"/>
    <x v="5"/>
    <x v="1"/>
    <x v="106"/>
    <x v="107"/>
    <x v="2"/>
  </r>
  <r>
    <x v="276"/>
    <x v="2"/>
    <x v="35"/>
    <x v="0"/>
    <x v="5"/>
    <x v="1"/>
    <x v="174"/>
    <x v="177"/>
    <x v="2"/>
  </r>
  <r>
    <x v="95"/>
    <x v="14"/>
    <x v="30"/>
    <x v="1"/>
    <x v="4"/>
    <x v="4"/>
    <x v="41"/>
    <x v="40"/>
    <x v="14"/>
  </r>
  <r>
    <x v="177"/>
    <x v="2"/>
    <x v="35"/>
    <x v="0"/>
    <x v="5"/>
    <x v="1"/>
    <x v="114"/>
    <x v="116"/>
    <x v="2"/>
  </r>
  <r>
    <x v="209"/>
    <x v="2"/>
    <x v="35"/>
    <x v="0"/>
    <x v="5"/>
    <x v="1"/>
    <x v="103"/>
    <x v="104"/>
    <x v="2"/>
  </r>
  <r>
    <x v="232"/>
    <x v="2"/>
    <x v="35"/>
    <x v="0"/>
    <x v="5"/>
    <x v="1"/>
    <x v="116"/>
    <x v="118"/>
    <x v="2"/>
  </r>
  <r>
    <x v="229"/>
    <x v="2"/>
    <x v="35"/>
    <x v="0"/>
    <x v="5"/>
    <x v="1"/>
    <x v="109"/>
    <x v="110"/>
    <x v="2"/>
  </r>
  <r>
    <x v="224"/>
    <x v="2"/>
    <x v="35"/>
    <x v="0"/>
    <x v="5"/>
    <x v="1"/>
    <x v="159"/>
    <x v="115"/>
    <x v="2"/>
  </r>
  <r>
    <x v="61"/>
    <x v="13"/>
    <x v="28"/>
    <x v="1"/>
    <x v="4"/>
    <x v="0"/>
    <x v="10"/>
    <x v="9"/>
    <x v="13"/>
  </r>
  <r>
    <x v="78"/>
    <x v="2"/>
    <x v="35"/>
    <x v="0"/>
    <x v="5"/>
    <x v="1"/>
    <x v="174"/>
    <x v="177"/>
    <x v="2"/>
  </r>
  <r>
    <x v="274"/>
    <x v="2"/>
    <x v="35"/>
    <x v="0"/>
    <x v="5"/>
    <x v="1"/>
    <x v="115"/>
    <x v="117"/>
    <x v="2"/>
  </r>
  <r>
    <x v="275"/>
    <x v="2"/>
    <x v="35"/>
    <x v="0"/>
    <x v="5"/>
    <x v="1"/>
    <x v="110"/>
    <x v="111"/>
    <x v="2"/>
  </r>
  <r>
    <x v="291"/>
    <x v="15"/>
    <x v="3"/>
    <x v="1"/>
    <x v="4"/>
    <x v="35"/>
    <x v="174"/>
    <x v="177"/>
    <x v="15"/>
  </r>
  <r>
    <x v="302"/>
    <x v="2"/>
    <x v="35"/>
    <x v="0"/>
    <x v="5"/>
    <x v="1"/>
    <x v="101"/>
    <x v="102"/>
    <x v="2"/>
  </r>
  <r>
    <x v="345"/>
    <x v="2"/>
    <x v="35"/>
    <x v="0"/>
    <x v="5"/>
    <x v="1"/>
    <x v="108"/>
    <x v="109"/>
    <x v="2"/>
  </r>
  <r>
    <x v="338"/>
    <x v="2"/>
    <x v="35"/>
    <x v="0"/>
    <x v="5"/>
    <x v="1"/>
    <x v="105"/>
    <x v="106"/>
    <x v="2"/>
  </r>
  <r>
    <x v="355"/>
    <x v="2"/>
    <x v="35"/>
    <x v="0"/>
    <x v="5"/>
    <x v="1"/>
    <x v="119"/>
    <x v="121"/>
    <x v="2"/>
  </r>
  <r>
    <x v="347"/>
    <x v="2"/>
    <x v="35"/>
    <x v="0"/>
    <x v="5"/>
    <x v="1"/>
    <x v="118"/>
    <x v="120"/>
    <x v="2"/>
  </r>
  <r>
    <x v="206"/>
    <x v="13"/>
    <x v="28"/>
    <x v="1"/>
    <x v="4"/>
    <x v="0"/>
    <x v="8"/>
    <x v="7"/>
    <x v="13"/>
  </r>
  <r>
    <x v="125"/>
    <x v="2"/>
    <x v="35"/>
    <x v="0"/>
    <x v="5"/>
    <x v="1"/>
    <x v="117"/>
    <x v="119"/>
    <x v="2"/>
  </r>
  <r>
    <x v="216"/>
    <x v="13"/>
    <x v="28"/>
    <x v="1"/>
    <x v="4"/>
    <x v="0"/>
    <x v="15"/>
    <x v="14"/>
    <x v="13"/>
  </r>
  <r>
    <x v="367"/>
    <x v="13"/>
    <x v="28"/>
    <x v="1"/>
    <x v="4"/>
    <x v="0"/>
    <x v="14"/>
    <x v="13"/>
    <x v="13"/>
  </r>
  <r>
    <x v="372"/>
    <x v="13"/>
    <x v="28"/>
    <x v="1"/>
    <x v="4"/>
    <x v="0"/>
    <x v="16"/>
    <x v="15"/>
    <x v="13"/>
  </r>
  <r>
    <x v="370"/>
    <x v="13"/>
    <x v="28"/>
    <x v="1"/>
    <x v="4"/>
    <x v="0"/>
    <x v="11"/>
    <x v="10"/>
    <x v="13"/>
  </r>
  <r>
    <x v="365"/>
    <x v="13"/>
    <x v="28"/>
    <x v="1"/>
    <x v="4"/>
    <x v="0"/>
    <x v="13"/>
    <x v="12"/>
    <x v="13"/>
  </r>
  <r>
    <x v="369"/>
    <x v="13"/>
    <x v="28"/>
    <x v="1"/>
    <x v="4"/>
    <x v="0"/>
    <x v="9"/>
    <x v="8"/>
    <x v="13"/>
  </r>
  <r>
    <x v="366"/>
    <x v="13"/>
    <x v="28"/>
    <x v="1"/>
    <x v="4"/>
    <x v="0"/>
    <x v="23"/>
    <x v="22"/>
    <x v="13"/>
  </r>
  <r>
    <x v="373"/>
    <x v="2"/>
    <x v="35"/>
    <x v="0"/>
    <x v="5"/>
    <x v="1"/>
    <x v="131"/>
    <x v="135"/>
    <x v="2"/>
  </r>
  <r>
    <x v="374"/>
    <x v="13"/>
    <x v="28"/>
    <x v="1"/>
    <x v="4"/>
    <x v="0"/>
    <x v="22"/>
    <x v="21"/>
    <x v="13"/>
  </r>
  <r>
    <x v="368"/>
    <x v="13"/>
    <x v="28"/>
    <x v="1"/>
    <x v="4"/>
    <x v="0"/>
    <x v="25"/>
    <x v="24"/>
    <x v="13"/>
  </r>
  <r>
    <x v="297"/>
    <x v="2"/>
    <x v="35"/>
    <x v="0"/>
    <x v="5"/>
    <x v="1"/>
    <x v="174"/>
    <x v="177"/>
    <x v="2"/>
  </r>
  <r>
    <x v="261"/>
    <x v="13"/>
    <x v="28"/>
    <x v="1"/>
    <x v="4"/>
    <x v="0"/>
    <x v="12"/>
    <x v="11"/>
    <x v="13"/>
  </r>
  <r>
    <x v="29"/>
    <x v="14"/>
    <x v="30"/>
    <x v="1"/>
    <x v="4"/>
    <x v="4"/>
    <x v="174"/>
    <x v="177"/>
    <x v="14"/>
  </r>
  <r>
    <x v="75"/>
    <x v="14"/>
    <x v="30"/>
    <x v="1"/>
    <x v="4"/>
    <x v="4"/>
    <x v="174"/>
    <x v="177"/>
    <x v="14"/>
  </r>
  <r>
    <x v="80"/>
    <x v="14"/>
    <x v="30"/>
    <x v="1"/>
    <x v="4"/>
    <x v="4"/>
    <x v="174"/>
    <x v="177"/>
    <x v="14"/>
  </r>
  <r>
    <x v="71"/>
    <x v="14"/>
    <x v="30"/>
    <x v="1"/>
    <x v="4"/>
    <x v="4"/>
    <x v="174"/>
    <x v="177"/>
    <x v="14"/>
  </r>
  <r>
    <x v="278"/>
    <x v="14"/>
    <x v="30"/>
    <x v="1"/>
    <x v="4"/>
    <x v="4"/>
    <x v="174"/>
    <x v="177"/>
    <x v="14"/>
  </r>
  <r>
    <x v="54"/>
    <x v="14"/>
    <x v="30"/>
    <x v="1"/>
    <x v="4"/>
    <x v="4"/>
    <x v="174"/>
    <x v="177"/>
    <x v="14"/>
  </r>
  <r>
    <x v="281"/>
    <x v="14"/>
    <x v="30"/>
    <x v="1"/>
    <x v="4"/>
    <x v="4"/>
    <x v="30"/>
    <x v="29"/>
    <x v="14"/>
  </r>
  <r>
    <x v="66"/>
    <x v="13"/>
    <x v="28"/>
    <x v="1"/>
    <x v="4"/>
    <x v="0"/>
    <x v="18"/>
    <x v="17"/>
    <x v="13"/>
  </r>
  <r>
    <x v="77"/>
    <x v="14"/>
    <x v="30"/>
    <x v="1"/>
    <x v="0"/>
    <x v="4"/>
    <x v="174"/>
    <x v="177"/>
    <x v="14"/>
  </r>
  <r>
    <x v="79"/>
    <x v="13"/>
    <x v="28"/>
    <x v="1"/>
    <x v="4"/>
    <x v="0"/>
    <x v="174"/>
    <x v="177"/>
    <x v="13"/>
  </r>
  <r>
    <x v="108"/>
    <x v="15"/>
    <x v="3"/>
    <x v="1"/>
    <x v="4"/>
    <x v="35"/>
    <x v="174"/>
    <x v="177"/>
    <x v="15"/>
  </r>
  <r>
    <x v="104"/>
    <x v="13"/>
    <x v="28"/>
    <x v="1"/>
    <x v="4"/>
    <x v="0"/>
    <x v="174"/>
    <x v="177"/>
    <x v="13"/>
  </r>
  <r>
    <x v="92"/>
    <x v="14"/>
    <x v="30"/>
    <x v="1"/>
    <x v="0"/>
    <x v="4"/>
    <x v="46"/>
    <x v="45"/>
    <x v="14"/>
  </r>
  <r>
    <x v="270"/>
    <x v="2"/>
    <x v="35"/>
    <x v="0"/>
    <x v="5"/>
    <x v="1"/>
    <x v="174"/>
    <x v="177"/>
    <x v="2"/>
  </r>
  <r>
    <x v="285"/>
    <x v="14"/>
    <x v="30"/>
    <x v="1"/>
    <x v="0"/>
    <x v="4"/>
    <x v="44"/>
    <x v="43"/>
    <x v="14"/>
  </r>
  <r>
    <x v="82"/>
    <x v="14"/>
    <x v="30"/>
    <x v="1"/>
    <x v="0"/>
    <x v="4"/>
    <x v="45"/>
    <x v="44"/>
    <x v="14"/>
  </r>
  <r>
    <x v="139"/>
    <x v="24"/>
    <x v="9"/>
    <x v="1"/>
    <x v="4"/>
    <x v="29"/>
    <x v="153"/>
    <x v="149"/>
    <x v="24"/>
  </r>
  <r>
    <x v="308"/>
    <x v="2"/>
    <x v="35"/>
    <x v="0"/>
    <x v="5"/>
    <x v="1"/>
    <x v="174"/>
    <x v="177"/>
    <x v="2"/>
  </r>
  <r>
    <x v="6"/>
    <x v="2"/>
    <x v="35"/>
    <x v="0"/>
    <x v="5"/>
    <x v="1"/>
    <x v="94"/>
    <x v="95"/>
    <x v="2"/>
  </r>
  <r>
    <x v="221"/>
    <x v="2"/>
    <x v="35"/>
    <x v="0"/>
    <x v="5"/>
    <x v="1"/>
    <x v="161"/>
    <x v="126"/>
    <x v="2"/>
  </r>
  <r>
    <x v="118"/>
    <x v="2"/>
    <x v="35"/>
    <x v="0"/>
    <x v="5"/>
    <x v="1"/>
    <x v="160"/>
    <x v="124"/>
    <x v="2"/>
  </r>
  <r>
    <x v="214"/>
    <x v="14"/>
    <x v="30"/>
    <x v="1"/>
    <x v="4"/>
    <x v="4"/>
    <x v="51"/>
    <x v="50"/>
    <x v="14"/>
  </r>
  <r>
    <x v="317"/>
    <x v="14"/>
    <x v="30"/>
    <x v="1"/>
    <x v="4"/>
    <x v="4"/>
    <x v="47"/>
    <x v="46"/>
    <x v="14"/>
  </r>
  <r>
    <x v="364"/>
    <x v="12"/>
    <x v="36"/>
    <x v="3"/>
    <x v="7"/>
    <x v="22"/>
    <x v="167"/>
    <x v="172"/>
    <x v="12"/>
  </r>
  <r>
    <x v="182"/>
    <x v="14"/>
    <x v="30"/>
    <x v="1"/>
    <x v="4"/>
    <x v="4"/>
    <x v="37"/>
    <x v="36"/>
    <x v="14"/>
  </r>
  <r>
    <x v="110"/>
    <x v="14"/>
    <x v="30"/>
    <x v="1"/>
    <x v="4"/>
    <x v="4"/>
    <x v="38"/>
    <x v="37"/>
    <x v="14"/>
  </r>
  <r>
    <x v="191"/>
    <x v="13"/>
    <x v="28"/>
    <x v="1"/>
    <x v="4"/>
    <x v="0"/>
    <x v="3"/>
    <x v="2"/>
    <x v="13"/>
  </r>
  <r>
    <x v="192"/>
    <x v="13"/>
    <x v="28"/>
    <x v="1"/>
    <x v="4"/>
    <x v="0"/>
    <x v="4"/>
    <x v="3"/>
    <x v="13"/>
  </r>
  <r>
    <x v="48"/>
    <x v="2"/>
    <x v="35"/>
    <x v="0"/>
    <x v="5"/>
    <x v="1"/>
    <x v="121"/>
    <x v="123"/>
    <x v="2"/>
  </r>
  <r>
    <x v="56"/>
    <x v="14"/>
    <x v="30"/>
    <x v="1"/>
    <x v="4"/>
    <x v="4"/>
    <x v="48"/>
    <x v="47"/>
    <x v="14"/>
  </r>
  <r>
    <x v="87"/>
    <x v="14"/>
    <x v="30"/>
    <x v="1"/>
    <x v="4"/>
    <x v="4"/>
    <x v="52"/>
    <x v="51"/>
    <x v="14"/>
  </r>
  <r>
    <x v="52"/>
    <x v="14"/>
    <x v="30"/>
    <x v="1"/>
    <x v="4"/>
    <x v="4"/>
    <x v="49"/>
    <x v="48"/>
    <x v="14"/>
  </r>
  <r>
    <x v="45"/>
    <x v="13"/>
    <x v="28"/>
    <x v="1"/>
    <x v="4"/>
    <x v="0"/>
    <x v="19"/>
    <x v="18"/>
    <x v="13"/>
  </r>
  <r>
    <x v="9"/>
    <x v="13"/>
    <x v="29"/>
    <x v="1"/>
    <x v="2"/>
    <x v="0"/>
    <x v="20"/>
    <x v="19"/>
    <x v="13"/>
  </r>
  <r>
    <x v="5"/>
    <x v="2"/>
    <x v="35"/>
    <x v="0"/>
    <x v="3"/>
    <x v="1"/>
    <x v="125"/>
    <x v="129"/>
    <x v="2"/>
  </r>
  <r>
    <x v="158"/>
    <x v="14"/>
    <x v="36"/>
    <x v="1"/>
    <x v="4"/>
    <x v="4"/>
    <x v="53"/>
    <x v="52"/>
    <x v="14"/>
  </r>
  <r>
    <x v="362"/>
    <x v="15"/>
    <x v="3"/>
    <x v="1"/>
    <x v="4"/>
    <x v="35"/>
    <x v="0"/>
    <x v="0"/>
    <x v="15"/>
  </r>
  <r>
    <x v="357"/>
    <x v="13"/>
    <x v="28"/>
    <x v="1"/>
    <x v="4"/>
    <x v="0"/>
    <x v="21"/>
    <x v="20"/>
    <x v="13"/>
  </r>
  <r>
    <x v="203"/>
    <x v="2"/>
    <x v="35"/>
    <x v="0"/>
    <x v="5"/>
    <x v="1"/>
    <x v="123"/>
    <x v="127"/>
    <x v="2"/>
  </r>
  <r>
    <x v="127"/>
    <x v="2"/>
    <x v="35"/>
    <x v="0"/>
    <x v="5"/>
    <x v="1"/>
    <x v="124"/>
    <x v="128"/>
    <x v="2"/>
  </r>
  <r>
    <x v="21"/>
    <x v="26"/>
    <x v="11"/>
    <x v="1"/>
    <x v="2"/>
    <x v="31"/>
    <x v="155"/>
    <x v="151"/>
    <x v="26"/>
  </r>
  <r>
    <x v="161"/>
    <x v="14"/>
    <x v="31"/>
    <x v="1"/>
    <x v="4"/>
    <x v="4"/>
    <x v="55"/>
    <x v="54"/>
    <x v="14"/>
  </r>
  <r>
    <x v="162"/>
    <x v="2"/>
    <x v="35"/>
    <x v="0"/>
    <x v="5"/>
    <x v="1"/>
    <x v="132"/>
    <x v="136"/>
    <x v="2"/>
  </r>
  <r>
    <x v="164"/>
    <x v="14"/>
    <x v="31"/>
    <x v="1"/>
    <x v="4"/>
    <x v="4"/>
    <x v="54"/>
    <x v="53"/>
    <x v="14"/>
  </r>
  <r>
    <x v="169"/>
    <x v="14"/>
    <x v="31"/>
    <x v="1"/>
    <x v="4"/>
    <x v="4"/>
    <x v="62"/>
    <x v="63"/>
    <x v="14"/>
  </r>
  <r>
    <x v="179"/>
    <x v="14"/>
    <x v="31"/>
    <x v="1"/>
    <x v="4"/>
    <x v="4"/>
    <x v="58"/>
    <x v="57"/>
    <x v="14"/>
  </r>
  <r>
    <x v="233"/>
    <x v="14"/>
    <x v="31"/>
    <x v="1"/>
    <x v="4"/>
    <x v="4"/>
    <x v="163"/>
    <x v="58"/>
    <x v="14"/>
  </r>
  <r>
    <x v="41"/>
    <x v="2"/>
    <x v="35"/>
    <x v="0"/>
    <x v="5"/>
    <x v="1"/>
    <x v="174"/>
    <x v="177"/>
    <x v="2"/>
  </r>
  <r>
    <x v="42"/>
    <x v="2"/>
    <x v="35"/>
    <x v="0"/>
    <x v="5"/>
    <x v="1"/>
    <x v="126"/>
    <x v="130"/>
    <x v="2"/>
  </r>
  <r>
    <x v="354"/>
    <x v="14"/>
    <x v="31"/>
    <x v="1"/>
    <x v="4"/>
    <x v="4"/>
    <x v="56"/>
    <x v="55"/>
    <x v="14"/>
  </r>
  <r>
    <x v="313"/>
    <x v="2"/>
    <x v="35"/>
    <x v="0"/>
    <x v="5"/>
    <x v="1"/>
    <x v="127"/>
    <x v="131"/>
    <x v="2"/>
  </r>
  <r>
    <x v="199"/>
    <x v="2"/>
    <x v="35"/>
    <x v="0"/>
    <x v="5"/>
    <x v="1"/>
    <x v="128"/>
    <x v="132"/>
    <x v="2"/>
  </r>
  <r>
    <x v="235"/>
    <x v="13"/>
    <x v="28"/>
    <x v="1"/>
    <x v="4"/>
    <x v="0"/>
    <x v="17"/>
    <x v="16"/>
    <x v="13"/>
  </r>
  <r>
    <x v="257"/>
    <x v="14"/>
    <x v="31"/>
    <x v="1"/>
    <x v="4"/>
    <x v="4"/>
    <x v="67"/>
    <x v="69"/>
    <x v="14"/>
  </r>
  <r>
    <x v="170"/>
    <x v="14"/>
    <x v="31"/>
    <x v="1"/>
    <x v="4"/>
    <x v="4"/>
    <x v="164"/>
    <x v="59"/>
    <x v="14"/>
  </r>
  <r>
    <x v="96"/>
    <x v="14"/>
    <x v="31"/>
    <x v="1"/>
    <x v="4"/>
    <x v="4"/>
    <x v="39"/>
    <x v="38"/>
    <x v="14"/>
  </r>
  <r>
    <x v="284"/>
    <x v="14"/>
    <x v="31"/>
    <x v="1"/>
    <x v="4"/>
    <x v="4"/>
    <x v="66"/>
    <x v="67"/>
    <x v="14"/>
  </r>
  <r>
    <x v="67"/>
    <x v="2"/>
    <x v="35"/>
    <x v="0"/>
    <x v="5"/>
    <x v="1"/>
    <x v="135"/>
    <x v="139"/>
    <x v="2"/>
  </r>
  <r>
    <x v="33"/>
    <x v="11"/>
    <x v="27"/>
    <x v="1"/>
    <x v="4"/>
    <x v="24"/>
    <x v="173"/>
    <x v="176"/>
    <x v="11"/>
  </r>
  <r>
    <x v="359"/>
    <x v="2"/>
    <x v="35"/>
    <x v="0"/>
    <x v="5"/>
    <x v="1"/>
    <x v="133"/>
    <x v="137"/>
    <x v="2"/>
  </r>
  <r>
    <x v="119"/>
    <x v="14"/>
    <x v="31"/>
    <x v="1"/>
    <x v="4"/>
    <x v="4"/>
    <x v="68"/>
    <x v="70"/>
    <x v="14"/>
  </r>
  <r>
    <x v="349"/>
    <x v="14"/>
    <x v="30"/>
    <x v="1"/>
    <x v="4"/>
    <x v="4"/>
    <x v="50"/>
    <x v="49"/>
    <x v="14"/>
  </r>
  <r>
    <x v="336"/>
    <x v="14"/>
    <x v="30"/>
    <x v="1"/>
    <x v="4"/>
    <x v="4"/>
    <x v="61"/>
    <x v="62"/>
    <x v="14"/>
  </r>
  <r>
    <x v="53"/>
    <x v="14"/>
    <x v="31"/>
    <x v="1"/>
    <x v="4"/>
    <x v="4"/>
    <x v="59"/>
    <x v="60"/>
    <x v="14"/>
  </r>
  <r>
    <x v="69"/>
    <x v="14"/>
    <x v="31"/>
    <x v="1"/>
    <x v="4"/>
    <x v="4"/>
    <x v="65"/>
    <x v="66"/>
    <x v="14"/>
  </r>
  <r>
    <x v="262"/>
    <x v="2"/>
    <x v="35"/>
    <x v="0"/>
    <x v="5"/>
    <x v="1"/>
    <x v="143"/>
    <x v="165"/>
    <x v="2"/>
  </r>
  <r>
    <x v="263"/>
    <x v="2"/>
    <x v="35"/>
    <x v="0"/>
    <x v="5"/>
    <x v="1"/>
    <x v="145"/>
    <x v="167"/>
    <x v="2"/>
  </r>
  <r>
    <x v="264"/>
    <x v="2"/>
    <x v="35"/>
    <x v="0"/>
    <x v="5"/>
    <x v="1"/>
    <x v="147"/>
    <x v="169"/>
    <x v="2"/>
  </r>
  <r>
    <x v="63"/>
    <x v="14"/>
    <x v="31"/>
    <x v="1"/>
    <x v="4"/>
    <x v="4"/>
    <x v="174"/>
    <x v="177"/>
    <x v="14"/>
  </r>
  <r>
    <x v="168"/>
    <x v="14"/>
    <x v="30"/>
    <x v="1"/>
    <x v="4"/>
    <x v="4"/>
    <x v="72"/>
    <x v="74"/>
    <x v="14"/>
  </r>
  <r>
    <x v="120"/>
    <x v="2"/>
    <x v="35"/>
    <x v="0"/>
    <x v="3"/>
    <x v="1"/>
    <x v="130"/>
    <x v="134"/>
    <x v="2"/>
  </r>
  <r>
    <x v="25"/>
    <x v="28"/>
    <x v="13"/>
    <x v="2"/>
    <x v="6"/>
    <x v="33"/>
    <x v="157"/>
    <x v="153"/>
    <x v="28"/>
  </r>
  <r>
    <x v="166"/>
    <x v="14"/>
    <x v="31"/>
    <x v="1"/>
    <x v="4"/>
    <x v="4"/>
    <x v="73"/>
    <x v="75"/>
    <x v="14"/>
  </r>
  <r>
    <x v="273"/>
    <x v="14"/>
    <x v="31"/>
    <x v="1"/>
    <x v="4"/>
    <x v="4"/>
    <x v="69"/>
    <x v="71"/>
    <x v="14"/>
  </r>
  <r>
    <x v="151"/>
    <x v="14"/>
    <x v="31"/>
    <x v="1"/>
    <x v="4"/>
    <x v="4"/>
    <x v="60"/>
    <x v="61"/>
    <x v="14"/>
  </r>
  <r>
    <x v="149"/>
    <x v="14"/>
    <x v="31"/>
    <x v="1"/>
    <x v="4"/>
    <x v="4"/>
    <x v="57"/>
    <x v="56"/>
    <x v="14"/>
  </r>
  <r>
    <x v="288"/>
    <x v="2"/>
    <x v="35"/>
    <x v="0"/>
    <x v="5"/>
    <x v="1"/>
    <x v="129"/>
    <x v="133"/>
    <x v="2"/>
  </r>
  <r>
    <x v="298"/>
    <x v="2"/>
    <x v="35"/>
    <x v="0"/>
    <x v="5"/>
    <x v="1"/>
    <x v="122"/>
    <x v="125"/>
    <x v="2"/>
  </r>
  <r>
    <x v="150"/>
    <x v="2"/>
    <x v="35"/>
    <x v="0"/>
    <x v="5"/>
    <x v="1"/>
    <x v="134"/>
    <x v="138"/>
    <x v="2"/>
  </r>
  <r>
    <x v="271"/>
    <x v="2"/>
    <x v="35"/>
    <x v="0"/>
    <x v="5"/>
    <x v="1"/>
    <x v="120"/>
    <x v="122"/>
    <x v="2"/>
  </r>
  <r>
    <x v="256"/>
    <x v="14"/>
    <x v="31"/>
    <x v="1"/>
    <x v="4"/>
    <x v="4"/>
    <x v="64"/>
    <x v="65"/>
    <x v="14"/>
  </r>
  <r>
    <x v="185"/>
    <x v="12"/>
    <x v="36"/>
    <x v="3"/>
    <x v="7"/>
    <x v="22"/>
    <x v="165"/>
    <x v="173"/>
    <x v="12"/>
  </r>
  <r>
    <x v="59"/>
    <x v="14"/>
    <x v="31"/>
    <x v="1"/>
    <x v="4"/>
    <x v="4"/>
    <x v="70"/>
    <x v="72"/>
    <x v="14"/>
  </r>
  <r>
    <x v="183"/>
    <x v="14"/>
    <x v="31"/>
    <x v="1"/>
    <x v="4"/>
    <x v="4"/>
    <x v="174"/>
    <x v="177"/>
    <x v="14"/>
  </r>
  <r>
    <x v="136"/>
    <x v="27"/>
    <x v="12"/>
    <x v="2"/>
    <x v="6"/>
    <x v="32"/>
    <x v="156"/>
    <x v="152"/>
    <x v="27"/>
  </r>
  <r>
    <x v="272"/>
    <x v="14"/>
    <x v="30"/>
    <x v="1"/>
    <x v="4"/>
    <x v="4"/>
    <x v="86"/>
    <x v="88"/>
    <x v="14"/>
  </r>
  <r>
    <x v="73"/>
    <x v="14"/>
    <x v="31"/>
    <x v="1"/>
    <x v="4"/>
    <x v="4"/>
    <x v="78"/>
    <x v="80"/>
    <x v="14"/>
  </r>
  <r>
    <x v="236"/>
    <x v="1"/>
    <x v="35"/>
    <x v="4"/>
    <x v="5"/>
    <x v="27"/>
    <x v="174"/>
    <x v="177"/>
    <x v="1"/>
  </r>
  <r>
    <x v="131"/>
    <x v="2"/>
    <x v="35"/>
    <x v="0"/>
    <x v="5"/>
    <x v="1"/>
    <x v="174"/>
    <x v="177"/>
    <x v="2"/>
  </r>
  <r>
    <x v="156"/>
    <x v="2"/>
    <x v="35"/>
    <x v="0"/>
    <x v="5"/>
    <x v="1"/>
    <x v="174"/>
    <x v="177"/>
    <x v="2"/>
  </r>
  <r>
    <x v="145"/>
    <x v="14"/>
    <x v="30"/>
    <x v="1"/>
    <x v="4"/>
    <x v="4"/>
    <x v="174"/>
    <x v="177"/>
    <x v="14"/>
  </r>
  <r>
    <x v="38"/>
    <x v="14"/>
    <x v="30"/>
    <x v="1"/>
    <x v="4"/>
    <x v="4"/>
    <x v="174"/>
    <x v="177"/>
    <x v="14"/>
  </r>
  <r>
    <x v="39"/>
    <x v="14"/>
    <x v="31"/>
    <x v="1"/>
    <x v="4"/>
    <x v="4"/>
    <x v="174"/>
    <x v="177"/>
    <x v="14"/>
  </r>
  <r>
    <x v="248"/>
    <x v="14"/>
    <x v="30"/>
    <x v="1"/>
    <x v="4"/>
    <x v="4"/>
    <x v="174"/>
    <x v="156"/>
    <x v="14"/>
  </r>
  <r>
    <x v="172"/>
    <x v="14"/>
    <x v="30"/>
    <x v="1"/>
    <x v="4"/>
    <x v="4"/>
    <x v="174"/>
    <x v="160"/>
    <x v="14"/>
  </r>
  <r>
    <x v="157"/>
    <x v="14"/>
    <x v="30"/>
    <x v="1"/>
    <x v="4"/>
    <x v="4"/>
    <x v="174"/>
    <x v="158"/>
    <x v="14"/>
  </r>
  <r>
    <x v="252"/>
    <x v="14"/>
    <x v="30"/>
    <x v="1"/>
    <x v="4"/>
    <x v="4"/>
    <x v="174"/>
    <x v="157"/>
    <x v="14"/>
  </r>
  <r>
    <x v="31"/>
    <x v="14"/>
    <x v="30"/>
    <x v="1"/>
    <x v="4"/>
    <x v="4"/>
    <x v="174"/>
    <x v="159"/>
    <x v="14"/>
  </r>
  <r>
    <x v="1"/>
    <x v="2"/>
    <x v="35"/>
    <x v="0"/>
    <x v="5"/>
    <x v="1"/>
    <x v="174"/>
    <x v="177"/>
    <x v="2"/>
  </r>
  <r>
    <x v="3"/>
    <x v="2"/>
    <x v="35"/>
    <x v="0"/>
    <x v="5"/>
    <x v="1"/>
    <x v="174"/>
    <x v="177"/>
    <x v="2"/>
  </r>
  <r>
    <x v="2"/>
    <x v="2"/>
    <x v="35"/>
    <x v="0"/>
    <x v="5"/>
    <x v="1"/>
    <x v="174"/>
    <x v="177"/>
    <x v="2"/>
  </r>
  <r>
    <x v="0"/>
    <x v="2"/>
    <x v="35"/>
    <x v="0"/>
    <x v="5"/>
    <x v="1"/>
    <x v="148"/>
    <x v="144"/>
    <x v="2"/>
  </r>
  <r>
    <x v="113"/>
    <x v="2"/>
    <x v="35"/>
    <x v="0"/>
    <x v="5"/>
    <x v="1"/>
    <x v="95"/>
    <x v="96"/>
    <x v="2"/>
  </r>
  <r>
    <x v="112"/>
    <x v="14"/>
    <x v="30"/>
    <x v="1"/>
    <x v="4"/>
    <x v="4"/>
    <x v="84"/>
    <x v="86"/>
    <x v="14"/>
  </r>
  <r>
    <x v="116"/>
    <x v="14"/>
    <x v="30"/>
    <x v="1"/>
    <x v="4"/>
    <x v="4"/>
    <x v="77"/>
    <x v="79"/>
    <x v="14"/>
  </r>
  <r>
    <x v="124"/>
    <x v="14"/>
    <x v="30"/>
    <x v="1"/>
    <x v="4"/>
    <x v="4"/>
    <x v="76"/>
    <x v="78"/>
    <x v="14"/>
  </r>
  <r>
    <x v="111"/>
    <x v="14"/>
    <x v="30"/>
    <x v="1"/>
    <x v="4"/>
    <x v="4"/>
    <x v="85"/>
    <x v="87"/>
    <x v="14"/>
  </r>
  <r>
    <x v="226"/>
    <x v="2"/>
    <x v="35"/>
    <x v="0"/>
    <x v="5"/>
    <x v="1"/>
    <x v="162"/>
    <x v="155"/>
    <x v="2"/>
  </r>
  <r>
    <x v="188"/>
    <x v="14"/>
    <x v="30"/>
    <x v="1"/>
    <x v="4"/>
    <x v="4"/>
    <x v="75"/>
    <x v="77"/>
    <x v="14"/>
  </r>
  <r>
    <x v="81"/>
    <x v="14"/>
    <x v="30"/>
    <x v="1"/>
    <x v="4"/>
    <x v="4"/>
    <x v="82"/>
    <x v="84"/>
    <x v="14"/>
  </r>
  <r>
    <x v="60"/>
    <x v="14"/>
    <x v="30"/>
    <x v="1"/>
    <x v="4"/>
    <x v="4"/>
    <x v="140"/>
    <x v="72"/>
    <x v="14"/>
  </r>
  <r>
    <x v="286"/>
    <x v="14"/>
    <x v="30"/>
    <x v="1"/>
    <x v="4"/>
    <x v="4"/>
    <x v="43"/>
    <x v="42"/>
    <x v="14"/>
  </r>
  <r>
    <x v="159"/>
    <x v="14"/>
    <x v="30"/>
    <x v="1"/>
    <x v="4"/>
    <x v="4"/>
    <x v="80"/>
    <x v="82"/>
    <x v="14"/>
  </r>
  <r>
    <x v="160"/>
    <x v="14"/>
    <x v="30"/>
    <x v="1"/>
    <x v="4"/>
    <x v="4"/>
    <x v="81"/>
    <x v="83"/>
    <x v="14"/>
  </r>
  <r>
    <x v="58"/>
    <x v="14"/>
    <x v="30"/>
    <x v="1"/>
    <x v="4"/>
    <x v="4"/>
    <x v="71"/>
    <x v="73"/>
    <x v="14"/>
  </r>
  <r>
    <x v="318"/>
    <x v="14"/>
    <x v="30"/>
    <x v="1"/>
    <x v="4"/>
    <x v="4"/>
    <x v="74"/>
    <x v="76"/>
    <x v="14"/>
  </r>
  <r>
    <x v="321"/>
    <x v="2"/>
    <x v="35"/>
    <x v="0"/>
    <x v="4"/>
    <x v="1"/>
    <x v="136"/>
    <x v="140"/>
    <x v="2"/>
  </r>
  <r>
    <x v="312"/>
    <x v="14"/>
    <x v="30"/>
    <x v="1"/>
    <x v="4"/>
    <x v="4"/>
    <x v="63"/>
    <x v="64"/>
    <x v="14"/>
  </r>
  <r>
    <x v="7"/>
    <x v="14"/>
    <x v="30"/>
    <x v="1"/>
    <x v="4"/>
    <x v="4"/>
    <x v="42"/>
    <x v="41"/>
    <x v="14"/>
  </r>
  <r>
    <x v="4"/>
    <x v="13"/>
    <x v="28"/>
    <x v="1"/>
    <x v="4"/>
    <x v="0"/>
    <x v="26"/>
    <x v="25"/>
    <x v="13"/>
  </r>
  <r>
    <x v="240"/>
    <x v="30"/>
    <x v="15"/>
    <x v="2"/>
    <x v="6"/>
    <x v="34"/>
    <x v="158"/>
    <x v="154"/>
    <x v="30"/>
  </r>
  <r>
    <x v="154"/>
    <x v="14"/>
    <x v="35"/>
    <x v="1"/>
    <x v="5"/>
    <x v="4"/>
    <x v="87"/>
    <x v="89"/>
    <x v="14"/>
  </r>
  <r>
    <x v="331"/>
    <x v="14"/>
    <x v="30"/>
    <x v="1"/>
    <x v="4"/>
    <x v="4"/>
    <x v="83"/>
    <x v="85"/>
    <x v="14"/>
  </r>
  <r>
    <x v="167"/>
    <x v="2"/>
    <x v="35"/>
    <x v="0"/>
    <x v="4"/>
    <x v="1"/>
    <x v="137"/>
    <x v="141"/>
    <x v="2"/>
  </r>
  <r>
    <x v="371"/>
    <x v="13"/>
    <x v="28"/>
    <x v="1"/>
    <x v="4"/>
    <x v="0"/>
    <x v="24"/>
    <x v="23"/>
    <x v="13"/>
  </r>
  <r>
    <x v="91"/>
    <x v="13"/>
    <x v="28"/>
    <x v="1"/>
    <x v="4"/>
    <x v="0"/>
    <x v="79"/>
    <x v="81"/>
    <x v="13"/>
  </r>
  <r>
    <x v="153"/>
    <x v="2"/>
    <x v="35"/>
    <x v="0"/>
    <x v="5"/>
    <x v="1"/>
    <x v="138"/>
    <x v="142"/>
    <x v="2"/>
  </r>
  <r>
    <x v="165"/>
    <x v="14"/>
    <x v="30"/>
    <x v="1"/>
    <x v="4"/>
    <x v="4"/>
    <x v="92"/>
    <x v="93"/>
    <x v="14"/>
  </r>
  <r>
    <x v="163"/>
    <x v="2"/>
    <x v="35"/>
    <x v="0"/>
    <x v="4"/>
    <x v="1"/>
    <x v="166"/>
    <x v="143"/>
    <x v="2"/>
  </r>
  <r>
    <x v="130"/>
    <x v="2"/>
    <x v="35"/>
    <x v="0"/>
    <x v="4"/>
    <x v="1"/>
    <x v="100"/>
    <x v="101"/>
    <x v="2"/>
  </r>
  <r>
    <x v="307"/>
    <x v="2"/>
    <x v="35"/>
    <x v="0"/>
    <x v="4"/>
    <x v="1"/>
    <x v="93"/>
    <x v="94"/>
    <x v="2"/>
  </r>
  <r>
    <x v="309"/>
    <x v="14"/>
    <x v="30"/>
    <x v="1"/>
    <x v="4"/>
    <x v="4"/>
    <x v="88"/>
    <x v="90"/>
    <x v="14"/>
  </r>
  <r>
    <x v="320"/>
    <x v="14"/>
    <x v="30"/>
    <x v="1"/>
    <x v="4"/>
    <x v="4"/>
    <x v="89"/>
    <x v="91"/>
    <x v="14"/>
  </r>
  <r>
    <x v="258"/>
    <x v="14"/>
    <x v="30"/>
    <x v="1"/>
    <x v="4"/>
    <x v="4"/>
    <x v="90"/>
    <x v="92"/>
    <x v="14"/>
  </r>
  <r>
    <x v="85"/>
    <x v="14"/>
    <x v="30"/>
    <x v="1"/>
    <x v="4"/>
    <x v="4"/>
    <x v="91"/>
    <x v="164"/>
    <x v="14"/>
  </r>
  <r>
    <x v="114"/>
    <x v="2"/>
    <x v="35"/>
    <x v="0"/>
    <x v="4"/>
    <x v="1"/>
    <x v="139"/>
    <x v="177"/>
    <x v="2"/>
  </r>
  <r>
    <x v="187"/>
    <x v="2"/>
    <x v="35"/>
    <x v="0"/>
    <x v="4"/>
    <x v="1"/>
    <x v="144"/>
    <x v="166"/>
    <x v="2"/>
  </r>
  <r>
    <x v="123"/>
    <x v="14"/>
    <x v="30"/>
    <x v="1"/>
    <x v="4"/>
    <x v="4"/>
    <x v="142"/>
    <x v="162"/>
    <x v="14"/>
  </r>
  <r>
    <x v="314"/>
    <x v="14"/>
    <x v="30"/>
    <x v="1"/>
    <x v="4"/>
    <x v="4"/>
    <x v="141"/>
    <x v="161"/>
    <x v="14"/>
  </r>
  <r>
    <x v="319"/>
    <x v="2"/>
    <x v="35"/>
    <x v="0"/>
    <x v="4"/>
    <x v="1"/>
    <x v="174"/>
    <x v="177"/>
    <x v="2"/>
  </r>
  <r>
    <x v="76"/>
    <x v="2"/>
    <x v="35"/>
    <x v="0"/>
    <x v="4"/>
    <x v="1"/>
    <x v="174"/>
    <x v="177"/>
    <x v="2"/>
  </r>
  <r>
    <x v="46"/>
    <x v="14"/>
    <x v="30"/>
    <x v="1"/>
    <x v="4"/>
    <x v="4"/>
    <x v="174"/>
    <x v="177"/>
    <x v="14"/>
  </r>
  <r>
    <x v="259"/>
    <x v="14"/>
    <x v="30"/>
    <x v="1"/>
    <x v="4"/>
    <x v="4"/>
    <x v="174"/>
    <x v="177"/>
    <x v="14"/>
  </r>
  <r>
    <x v="88"/>
    <x v="14"/>
    <x v="30"/>
    <x v="1"/>
    <x v="4"/>
    <x v="4"/>
    <x v="174"/>
    <x v="177"/>
    <x v="14"/>
  </r>
  <r>
    <x v="68"/>
    <x v="2"/>
    <x v="35"/>
    <x v="0"/>
    <x v="4"/>
    <x v="1"/>
    <x v="174"/>
    <x v="177"/>
    <x v="2"/>
  </r>
  <r>
    <x v="99"/>
    <x v="2"/>
    <x v="35"/>
    <x v="0"/>
    <x v="4"/>
    <x v="1"/>
    <x v="174"/>
    <x v="177"/>
    <x v="2"/>
  </r>
  <r>
    <x v="115"/>
    <x v="2"/>
    <x v="35"/>
    <x v="0"/>
    <x v="4"/>
    <x v="1"/>
    <x v="146"/>
    <x v="168"/>
    <x v="2"/>
  </r>
  <r>
    <x v="292"/>
    <x v="2"/>
    <x v="35"/>
    <x v="0"/>
    <x v="4"/>
    <x v="1"/>
    <x v="174"/>
    <x v="177"/>
    <x v="2"/>
  </r>
  <r>
    <x v="254"/>
    <x v="2"/>
    <x v="35"/>
    <x v="0"/>
    <x v="4"/>
    <x v="1"/>
    <x v="174"/>
    <x v="177"/>
    <x v="2"/>
  </r>
  <r>
    <x v="47"/>
    <x v="2"/>
    <x v="35"/>
    <x v="0"/>
    <x v="4"/>
    <x v="1"/>
    <x v="174"/>
    <x v="177"/>
    <x v="2"/>
  </r>
  <r>
    <x v="152"/>
    <x v="14"/>
    <x v="30"/>
    <x v="1"/>
    <x v="4"/>
    <x v="4"/>
    <x v="174"/>
    <x v="177"/>
    <x v="14"/>
  </r>
  <r>
    <x v="155"/>
    <x v="2"/>
    <x v="35"/>
    <x v="0"/>
    <x v="4"/>
    <x v="1"/>
    <x v="174"/>
    <x v="177"/>
    <x v="2"/>
  </r>
  <r>
    <x v="171"/>
    <x v="14"/>
    <x v="30"/>
    <x v="1"/>
    <x v="4"/>
    <x v="4"/>
    <x v="168"/>
    <x v="163"/>
    <x v="14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179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axis="axisRow" showAll="0">
      <items count="1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4"/>
        <item x="149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4"/>
        <item x="80"/>
        <item x="140"/>
        <item x="141"/>
        <item x="142"/>
        <item x="146"/>
        <item x="150"/>
        <item x="173"/>
        <item x="143"/>
        <item x="145"/>
        <item x="147"/>
        <item x="148"/>
        <item t="default"/>
      </items>
    </pivotField>
    <pivotField showAll="0"/>
    <pivotField showAll="0"/>
  </pivotFields>
  <rowFields count="1">
    <field x="6"/>
  </rowFields>
  <rowItems count="1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/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 t="grand">
      <x/>
    </i>
  </rowItems>
  <colItems count="1">
    <i/>
  </colItems>
  <dataFields count="1">
    <dataField name="Count of Project" fld="0" subtotal="count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1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76" firstHeaderRow="1" firstDataRow="1" firstDataCol="1"/>
  <pivotFields count="9">
    <pivotField showAll="0"/>
    <pivotField axis="axisRow" showAll="0">
      <items count="37">
        <item x="2"/>
        <item x="13"/>
        <item x="14"/>
        <item x="15"/>
        <item x="24"/>
        <item x="26"/>
        <item x="28"/>
        <item x="30"/>
        <item x="5"/>
        <item x="7"/>
        <item x="8"/>
        <item x="20"/>
        <item x="19"/>
        <item x="21"/>
        <item x="4"/>
        <item x="16"/>
        <item x="9"/>
        <item x="22"/>
        <item x="6"/>
        <item x="0"/>
        <item x="3"/>
        <item x="29"/>
        <item x="18"/>
        <item x="25"/>
        <item x="17"/>
        <item x="31"/>
        <item x="33"/>
        <item x="32"/>
        <item x="10"/>
        <item x="11"/>
        <item x="34"/>
        <item x="35"/>
        <item x="23"/>
        <item x="27"/>
        <item x="1"/>
        <item x="12"/>
        <item t="default"/>
      </items>
    </pivotField>
    <pivotField showAll="0"/>
    <pivotField axis="axisRow" showAll="0">
      <items count="8">
        <item x="2"/>
        <item x="5"/>
        <item x="6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</pivotFields>
  <rowFields count="2">
    <field x="1"/>
    <field x="3"/>
  </rowFields>
  <rowItems count="73">
    <i>
      <x/>
    </i>
    <i r="1">
      <x v="4"/>
    </i>
    <i>
      <x v="1"/>
    </i>
    <i r="1">
      <x v="3"/>
    </i>
    <i>
      <x v="2"/>
    </i>
    <i r="1">
      <x v="3"/>
    </i>
    <i>
      <x v="3"/>
    </i>
    <i r="1">
      <x v="3"/>
    </i>
    <i>
      <x v="4"/>
    </i>
    <i r="1">
      <x v="3"/>
    </i>
    <i>
      <x v="5"/>
    </i>
    <i r="1">
      <x v="3"/>
    </i>
    <i>
      <x v="6"/>
    </i>
    <i r="1">
      <x/>
    </i>
    <i>
      <x v="7"/>
    </i>
    <i r="1">
      <x/>
    </i>
    <i>
      <x v="8"/>
    </i>
    <i r="1">
      <x v="3"/>
    </i>
    <i>
      <x v="9"/>
    </i>
    <i r="1">
      <x v="3"/>
    </i>
    <i>
      <x v="10"/>
    </i>
    <i r="1">
      <x v="3"/>
    </i>
    <i>
      <x v="11"/>
    </i>
    <i r="1">
      <x v="3"/>
    </i>
    <i>
      <x v="12"/>
    </i>
    <i r="1">
      <x v="3"/>
    </i>
    <i>
      <x v="13"/>
    </i>
    <i r="1">
      <x v="3"/>
    </i>
    <i>
      <x v="14"/>
    </i>
    <i r="1">
      <x v="3"/>
    </i>
    <i>
      <x v="15"/>
    </i>
    <i r="1">
      <x v="3"/>
    </i>
    <i>
      <x v="16"/>
    </i>
    <i r="1">
      <x v="3"/>
    </i>
    <i>
      <x v="17"/>
    </i>
    <i r="1">
      <x v="3"/>
    </i>
    <i>
      <x v="18"/>
    </i>
    <i r="1">
      <x v="3"/>
    </i>
    <i>
      <x v="19"/>
    </i>
    <i r="1">
      <x v="1"/>
    </i>
    <i>
      <x v="20"/>
    </i>
    <i r="1">
      <x v="2"/>
    </i>
    <i>
      <x v="21"/>
    </i>
    <i r="1">
      <x v="3"/>
    </i>
    <i>
      <x v="22"/>
    </i>
    <i r="1">
      <x v="3"/>
    </i>
    <i>
      <x v="23"/>
    </i>
    <i r="1">
      <x v="3"/>
    </i>
    <i>
      <x v="24"/>
    </i>
    <i r="1">
      <x v="3"/>
    </i>
    <i>
      <x v="25"/>
    </i>
    <i r="1">
      <x v="3"/>
    </i>
    <i>
      <x v="26"/>
    </i>
    <i r="1">
      <x v="3"/>
    </i>
    <i>
      <x v="27"/>
    </i>
    <i r="1">
      <x v="3"/>
    </i>
    <i>
      <x v="28"/>
    </i>
    <i r="1">
      <x v="3"/>
    </i>
    <i>
      <x v="29"/>
    </i>
    <i r="1">
      <x v="3"/>
    </i>
    <i>
      <x v="30"/>
    </i>
    <i r="1">
      <x v="3"/>
    </i>
    <i>
      <x v="31"/>
    </i>
    <i r="1">
      <x v="3"/>
    </i>
    <i>
      <x v="32"/>
    </i>
    <i r="1">
      <x v="3"/>
    </i>
    <i>
      <x v="33"/>
    </i>
    <i r="1">
      <x/>
    </i>
    <i>
      <x v="34"/>
    </i>
    <i r="1">
      <x v="6"/>
    </i>
    <i>
      <x v="35"/>
    </i>
    <i r="1">
      <x v="5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2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76" firstHeaderRow="1" firstDataRow="1" firstDataCol="1"/>
  <pivotFields count="9">
    <pivotField showAll="0"/>
    <pivotField axis="axisRow" showAll="0">
      <items count="37">
        <item x="2"/>
        <item x="13"/>
        <item x="14"/>
        <item x="15"/>
        <item x="24"/>
        <item x="26"/>
        <item x="28"/>
        <item x="30"/>
        <item x="5"/>
        <item x="7"/>
        <item x="8"/>
        <item x="20"/>
        <item x="19"/>
        <item x="21"/>
        <item x="4"/>
        <item x="16"/>
        <item x="9"/>
        <item x="22"/>
        <item x="6"/>
        <item x="0"/>
        <item x="3"/>
        <item x="29"/>
        <item x="18"/>
        <item x="25"/>
        <item x="17"/>
        <item x="31"/>
        <item x="33"/>
        <item x="32"/>
        <item x="10"/>
        <item x="11"/>
        <item x="34"/>
        <item x="35"/>
        <item x="23"/>
        <item x="27"/>
        <item x="1"/>
        <item x="12"/>
        <item t="default"/>
      </items>
    </pivotField>
    <pivotField showAll="0"/>
    <pivotField showAll="0"/>
    <pivotField showAll="0"/>
    <pivotField axis="axisRow" showAll="0">
      <items count="37">
        <item x="0"/>
        <item x="1"/>
        <item x="3"/>
        <item x="4"/>
        <item x="5"/>
        <item x="6"/>
        <item x="7"/>
        <item x="9"/>
        <item x="12"/>
        <item x="13"/>
        <item x="16"/>
        <item x="24"/>
        <item x="25"/>
        <item x="35"/>
        <item x="10"/>
        <item x="11"/>
        <item x="17"/>
        <item x="2"/>
        <item x="8"/>
        <item x="18"/>
        <item x="30"/>
        <item x="15"/>
        <item x="19"/>
        <item x="21"/>
        <item x="20"/>
        <item x="23"/>
        <item x="26"/>
        <item x="28"/>
        <item x="29"/>
        <item x="22"/>
        <item x="31"/>
        <item x="33"/>
        <item x="32"/>
        <item x="34"/>
        <item x="14"/>
        <item x="27"/>
        <item t="default"/>
      </items>
    </pivotField>
    <pivotField showAll="0"/>
    <pivotField showAll="0"/>
    <pivotField showAll="0"/>
  </pivotFields>
  <rowFields count="2">
    <field x="5"/>
    <field x="1"/>
  </rowFields>
  <rowItems count="73">
    <i>
      <x/>
    </i>
    <i r="1">
      <x v="1"/>
    </i>
    <i>
      <x v="1"/>
    </i>
    <i r="1">
      <x/>
    </i>
    <i>
      <x v="2"/>
    </i>
    <i r="1">
      <x v="11"/>
    </i>
    <i>
      <x v="3"/>
    </i>
    <i r="1">
      <x v="2"/>
    </i>
    <i>
      <x v="4"/>
    </i>
    <i r="1">
      <x v="8"/>
    </i>
    <i>
      <x v="5"/>
    </i>
    <i r="1">
      <x v="18"/>
    </i>
    <i>
      <x v="6"/>
    </i>
    <i r="1">
      <x v="9"/>
    </i>
    <i>
      <x v="7"/>
    </i>
    <i r="1">
      <x v="12"/>
    </i>
    <i>
      <x v="8"/>
    </i>
    <i r="1">
      <x v="22"/>
    </i>
    <i>
      <x v="9"/>
    </i>
    <i r="1">
      <x v="15"/>
    </i>
    <i>
      <x v="10"/>
    </i>
    <i r="1">
      <x v="16"/>
    </i>
    <i>
      <x v="11"/>
    </i>
    <i r="1">
      <x v="29"/>
    </i>
    <i>
      <x v="12"/>
    </i>
    <i r="1">
      <x v="28"/>
    </i>
    <i>
      <x v="13"/>
    </i>
    <i r="1">
      <x v="3"/>
    </i>
    <i>
      <x v="14"/>
    </i>
    <i r="1">
      <x v="13"/>
    </i>
    <i>
      <x v="15"/>
    </i>
    <i r="1">
      <x v="14"/>
    </i>
    <i>
      <x v="16"/>
    </i>
    <i r="1">
      <x v="17"/>
    </i>
    <i>
      <x v="17"/>
    </i>
    <i r="1">
      <x v="19"/>
    </i>
    <i>
      <x v="18"/>
    </i>
    <i r="1">
      <x v="20"/>
    </i>
    <i>
      <x v="19"/>
    </i>
    <i r="1">
      <x v="21"/>
    </i>
    <i>
      <x v="20"/>
    </i>
    <i r="1">
      <x v="23"/>
    </i>
    <i>
      <x v="21"/>
    </i>
    <i r="1">
      <x v="24"/>
    </i>
    <i>
      <x v="22"/>
    </i>
    <i r="1">
      <x v="25"/>
    </i>
    <i>
      <x v="23"/>
    </i>
    <i r="1">
      <x v="26"/>
    </i>
    <i>
      <x v="24"/>
    </i>
    <i r="1">
      <x v="27"/>
    </i>
    <i>
      <x v="25"/>
    </i>
    <i r="1">
      <x v="30"/>
    </i>
    <i>
      <x v="26"/>
    </i>
    <i r="1">
      <x v="31"/>
    </i>
    <i>
      <x v="27"/>
    </i>
    <i r="1">
      <x v="32"/>
    </i>
    <i>
      <x v="28"/>
    </i>
    <i r="1">
      <x v="4"/>
    </i>
    <i>
      <x v="29"/>
    </i>
    <i r="1">
      <x v="35"/>
    </i>
    <i>
      <x v="30"/>
    </i>
    <i r="1">
      <x v="5"/>
    </i>
    <i>
      <x v="31"/>
    </i>
    <i r="1">
      <x v="6"/>
    </i>
    <i>
      <x v="32"/>
    </i>
    <i r="1">
      <x v="33"/>
    </i>
    <i>
      <x v="33"/>
    </i>
    <i r="1">
      <x v="7"/>
    </i>
    <i>
      <x v="34"/>
    </i>
    <i r="1">
      <x v="10"/>
    </i>
    <i>
      <x v="35"/>
    </i>
    <i r="1">
      <x v="34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4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473" activePane="bottomLeft" state="frozen"/>
      <selection pane="topLeft" activeCell="A1" activeCellId="0" sqref="A1"/>
      <selection pane="bottomLeft" activeCell="B484" activeCellId="0" sqref="B484"/>
    </sheetView>
  </sheetViews>
  <sheetFormatPr defaultColWidth="14.42578125" defaultRowHeight="12.75" customHeight="false" zeroHeight="false" outlineLevelRow="0" outlineLevelCol="0"/>
  <cols>
    <col collapsed="false" customWidth="true" hidden="false" outlineLevel="0" max="1" min="1" style="1" width="51.29"/>
    <col collapsed="false" customWidth="true" hidden="false" outlineLevel="0" max="2" min="2" style="1" width="63"/>
    <col collapsed="false" customWidth="true" hidden="true" outlineLevel="0" max="3" min="3" style="1" width="57.71"/>
    <col collapsed="false" customWidth="true" hidden="false" outlineLevel="0" max="4" min="4" style="1" width="61.15"/>
    <col collapsed="false" customWidth="true" hidden="true" outlineLevel="0" max="5" min="5" style="1" width="111.85"/>
    <col collapsed="false" customWidth="true" hidden="false" outlineLevel="0" max="6" min="6" style="1" width="25.14"/>
    <col collapsed="false" customWidth="true" hidden="false" outlineLevel="0" max="8" min="7" style="2" width="14.29"/>
    <col collapsed="false" customWidth="true" hidden="false" outlineLevel="0" max="9" min="9" style="1" width="105.71"/>
    <col collapsed="false" customWidth="false" hidden="false" outlineLevel="0" max="16384" min="10" style="1" width="14.42"/>
  </cols>
  <sheetData>
    <row r="1" customFormat="false" ht="12.7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customFormat="false" ht="49.25" hidden="false" customHeight="false" outlineLevel="0" collapsed="false">
      <c r="A2" s="5" t="s">
        <v>9</v>
      </c>
      <c r="B2" s="5" t="s">
        <v>10</v>
      </c>
      <c r="C2" s="5" t="s">
        <v>11</v>
      </c>
      <c r="D2" s="6" t="s">
        <v>12</v>
      </c>
      <c r="E2" s="5" t="s">
        <v>13</v>
      </c>
      <c r="F2" s="7" t="s">
        <v>14</v>
      </c>
      <c r="G2" s="7"/>
      <c r="H2" s="8"/>
      <c r="I2" s="9" t="str">
        <f aca="false">CONCATENATE(B2, CHAR(10), D2, CHAR(10), "Tax ID: ", F2)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3" customFormat="false" ht="49.25" hidden="false" customHeight="false" outlineLevel="0" collapsed="false">
      <c r="A3" s="10" t="s">
        <v>15</v>
      </c>
      <c r="B3" s="10" t="s">
        <v>10</v>
      </c>
      <c r="C3" s="10" t="s">
        <v>11</v>
      </c>
      <c r="D3" s="11" t="s">
        <v>12</v>
      </c>
      <c r="E3" s="10" t="s">
        <v>13</v>
      </c>
      <c r="F3" s="12" t="s">
        <v>14</v>
      </c>
      <c r="G3" s="12"/>
      <c r="H3" s="13"/>
      <c r="I3" s="14" t="str">
        <f aca="false">CONCATENATE(B3, CHAR(10), D3, CHAR(10), "Tax ID: ", F3)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4" customFormat="false" ht="49.25" hidden="false" customHeight="false" outlineLevel="0" collapsed="false">
      <c r="A4" s="5" t="s">
        <v>16</v>
      </c>
      <c r="B4" s="5" t="s">
        <v>10</v>
      </c>
      <c r="C4" s="5" t="s">
        <v>11</v>
      </c>
      <c r="D4" s="6" t="s">
        <v>12</v>
      </c>
      <c r="E4" s="5" t="s">
        <v>13</v>
      </c>
      <c r="F4" s="7" t="s">
        <v>14</v>
      </c>
      <c r="G4" s="7"/>
      <c r="H4" s="8"/>
      <c r="I4" s="9" t="str">
        <f aca="false">CONCATENATE(B4, CHAR(10), D4, CHAR(10), "Tax ID: ", F4)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5" customFormat="false" ht="49.25" hidden="false" customHeight="false" outlineLevel="0" collapsed="false">
      <c r="A5" s="10" t="s">
        <v>17</v>
      </c>
      <c r="B5" s="10" t="s">
        <v>10</v>
      </c>
      <c r="C5" s="10" t="s">
        <v>11</v>
      </c>
      <c r="D5" s="11" t="s">
        <v>12</v>
      </c>
      <c r="E5" s="10" t="s">
        <v>13</v>
      </c>
      <c r="F5" s="12" t="s">
        <v>14</v>
      </c>
      <c r="G5" s="12"/>
      <c r="H5" s="13"/>
      <c r="I5" s="14" t="str">
        <f aca="false">CONCATENATE(B5, CHAR(10), D5, CHAR(10), "Tax ID: ", F5)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6" customFormat="false" ht="49.25" hidden="false" customHeight="false" outlineLevel="0" collapsed="false">
      <c r="A6" s="5" t="s">
        <v>18</v>
      </c>
      <c r="B6" s="5" t="s">
        <v>10</v>
      </c>
      <c r="C6" s="5" t="s">
        <v>11</v>
      </c>
      <c r="D6" s="6" t="s">
        <v>12</v>
      </c>
      <c r="E6" s="5" t="s">
        <v>13</v>
      </c>
      <c r="F6" s="7" t="s">
        <v>14</v>
      </c>
      <c r="G6" s="7"/>
      <c r="H6" s="8"/>
      <c r="I6" s="9" t="str">
        <f aca="false">CONCATENATE(B6, CHAR(10), D6, CHAR(10), "Tax ID: ", F6)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7" customFormat="false" ht="49.25" hidden="false" customHeight="false" outlineLevel="0" collapsed="false">
      <c r="A7" s="10" t="s">
        <v>19</v>
      </c>
      <c r="B7" s="10" t="s">
        <v>10</v>
      </c>
      <c r="C7" s="10" t="s">
        <v>11</v>
      </c>
      <c r="D7" s="11" t="s">
        <v>12</v>
      </c>
      <c r="E7" s="10" t="s">
        <v>13</v>
      </c>
      <c r="F7" s="12" t="s">
        <v>14</v>
      </c>
      <c r="G7" s="12"/>
      <c r="H7" s="13"/>
      <c r="I7" s="14" t="str">
        <f aca="false">CONCATENATE(B7, CHAR(10), D7, CHAR(10), "Tax ID: ", F7)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8" customFormat="false" ht="49.25" hidden="false" customHeight="false" outlineLevel="0" collapsed="false">
      <c r="A8" s="5" t="s">
        <v>20</v>
      </c>
      <c r="B8" s="5" t="s">
        <v>10</v>
      </c>
      <c r="C8" s="5" t="s">
        <v>11</v>
      </c>
      <c r="D8" s="6" t="s">
        <v>12</v>
      </c>
      <c r="E8" s="5" t="s">
        <v>13</v>
      </c>
      <c r="F8" s="7" t="s">
        <v>14</v>
      </c>
      <c r="G8" s="7"/>
      <c r="H8" s="8"/>
      <c r="I8" s="9" t="str">
        <f aca="false">CONCATENATE(B8, CHAR(10), D8, CHAR(10), "Tax ID: ", F8)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9" customFormat="false" ht="49.25" hidden="false" customHeight="false" outlineLevel="0" collapsed="false">
      <c r="A9" s="10" t="s">
        <v>21</v>
      </c>
      <c r="B9" s="10" t="s">
        <v>10</v>
      </c>
      <c r="C9" s="10" t="s">
        <v>11</v>
      </c>
      <c r="D9" s="11" t="s">
        <v>12</v>
      </c>
      <c r="E9" s="10" t="s">
        <v>13</v>
      </c>
      <c r="F9" s="12" t="s">
        <v>14</v>
      </c>
      <c r="G9" s="12"/>
      <c r="H9" s="13"/>
      <c r="I9" s="14" t="str">
        <f aca="false">CONCATENATE(B9, CHAR(10), D9, CHAR(10), "Tax ID: ", F9)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10" customFormat="false" ht="49.25" hidden="false" customHeight="false" outlineLevel="0" collapsed="false">
      <c r="A10" s="5" t="s">
        <v>22</v>
      </c>
      <c r="B10" s="5" t="s">
        <v>10</v>
      </c>
      <c r="C10" s="5" t="s">
        <v>11</v>
      </c>
      <c r="D10" s="6" t="s">
        <v>12</v>
      </c>
      <c r="E10" s="5" t="s">
        <v>13</v>
      </c>
      <c r="F10" s="7" t="s">
        <v>14</v>
      </c>
      <c r="G10" s="7"/>
      <c r="H10" s="8"/>
      <c r="I10" s="9" t="str">
        <f aca="false">CONCATENATE(B10, CHAR(10), D10, CHAR(10), "Tax ID: ", F10)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11" customFormat="false" ht="49.25" hidden="false" customHeight="false" outlineLevel="0" collapsed="false">
      <c r="A11" s="10" t="s">
        <v>23</v>
      </c>
      <c r="B11" s="10" t="s">
        <v>10</v>
      </c>
      <c r="C11" s="10" t="s">
        <v>11</v>
      </c>
      <c r="D11" s="11" t="s">
        <v>12</v>
      </c>
      <c r="E11" s="10" t="s">
        <v>13</v>
      </c>
      <c r="F11" s="12" t="s">
        <v>14</v>
      </c>
      <c r="G11" s="12"/>
      <c r="H11" s="13"/>
      <c r="I11" s="14" t="str">
        <f aca="false">CONCATENATE(B11, CHAR(10), D11, CHAR(10), "Tax ID: ", F11)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12" customFormat="false" ht="49.25" hidden="false" customHeight="false" outlineLevel="0" collapsed="false">
      <c r="A12" s="5" t="s">
        <v>24</v>
      </c>
      <c r="B12" s="5" t="s">
        <v>10</v>
      </c>
      <c r="C12" s="5" t="s">
        <v>11</v>
      </c>
      <c r="D12" s="6" t="s">
        <v>12</v>
      </c>
      <c r="E12" s="5" t="s">
        <v>13</v>
      </c>
      <c r="F12" s="7" t="s">
        <v>14</v>
      </c>
      <c r="G12" s="7"/>
      <c r="H12" s="8"/>
      <c r="I12" s="9" t="str">
        <f aca="false">CONCATENATE(B12, CHAR(10), D12, CHAR(10), "Tax ID: ", F12)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13" customFormat="false" ht="49.25" hidden="false" customHeight="false" outlineLevel="0" collapsed="false">
      <c r="A13" s="10" t="s">
        <v>25</v>
      </c>
      <c r="B13" s="10" t="s">
        <v>10</v>
      </c>
      <c r="C13" s="10" t="s">
        <v>11</v>
      </c>
      <c r="D13" s="11" t="s">
        <v>12</v>
      </c>
      <c r="E13" s="10" t="s">
        <v>13</v>
      </c>
      <c r="F13" s="12" t="s">
        <v>14</v>
      </c>
      <c r="G13" s="12"/>
      <c r="H13" s="13"/>
      <c r="I13" s="14" t="str">
        <f aca="false">CONCATENATE(B13, CHAR(10), D13, CHAR(10), "Tax ID: ", F13)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14" customFormat="false" ht="49.25" hidden="false" customHeight="false" outlineLevel="0" collapsed="false">
      <c r="A14" s="5" t="s">
        <v>26</v>
      </c>
      <c r="B14" s="5" t="s">
        <v>10</v>
      </c>
      <c r="C14" s="5" t="s">
        <v>11</v>
      </c>
      <c r="D14" s="6" t="s">
        <v>12</v>
      </c>
      <c r="E14" s="5" t="s">
        <v>13</v>
      </c>
      <c r="F14" s="7" t="s">
        <v>14</v>
      </c>
      <c r="G14" s="7"/>
      <c r="H14" s="8"/>
      <c r="I14" s="9" t="str">
        <f aca="false">CONCATENATE(B14, CHAR(10), D14, CHAR(10), "Tax ID: ", F14)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15" customFormat="false" ht="49.25" hidden="false" customHeight="false" outlineLevel="0" collapsed="false">
      <c r="A15" s="10" t="s">
        <v>27</v>
      </c>
      <c r="B15" s="10" t="s">
        <v>10</v>
      </c>
      <c r="C15" s="10" t="s">
        <v>11</v>
      </c>
      <c r="D15" s="11" t="s">
        <v>12</v>
      </c>
      <c r="E15" s="10" t="s">
        <v>13</v>
      </c>
      <c r="F15" s="12" t="s">
        <v>14</v>
      </c>
      <c r="G15" s="12"/>
      <c r="H15" s="13"/>
      <c r="I15" s="14" t="str">
        <f aca="false">CONCATENATE(B15, CHAR(10), D15, CHAR(10), "Tax ID: ", F15)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16" customFormat="false" ht="49.25" hidden="false" customHeight="false" outlineLevel="0" collapsed="false">
      <c r="A16" s="5" t="s">
        <v>28</v>
      </c>
      <c r="B16" s="5" t="s">
        <v>10</v>
      </c>
      <c r="C16" s="5" t="s">
        <v>11</v>
      </c>
      <c r="D16" s="6" t="s">
        <v>12</v>
      </c>
      <c r="E16" s="5" t="s">
        <v>13</v>
      </c>
      <c r="F16" s="7" t="s">
        <v>14</v>
      </c>
      <c r="G16" s="7"/>
      <c r="H16" s="8"/>
      <c r="I16" s="9" t="str">
        <f aca="false">CONCATENATE(B16, CHAR(10), D16, CHAR(10), "Tax ID: ", F16)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17" customFormat="false" ht="49.25" hidden="false" customHeight="false" outlineLevel="0" collapsed="false">
      <c r="A17" s="10" t="s">
        <v>29</v>
      </c>
      <c r="B17" s="10" t="s">
        <v>10</v>
      </c>
      <c r="C17" s="10" t="s">
        <v>11</v>
      </c>
      <c r="D17" s="11" t="s">
        <v>12</v>
      </c>
      <c r="E17" s="10" t="s">
        <v>13</v>
      </c>
      <c r="F17" s="12" t="s">
        <v>14</v>
      </c>
      <c r="G17" s="12"/>
      <c r="H17" s="13"/>
      <c r="I17" s="14" t="str">
        <f aca="false">CONCATENATE(B17, CHAR(10), D17, CHAR(10), "Tax ID: ", F17)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18" customFormat="false" ht="49.25" hidden="false" customHeight="false" outlineLevel="0" collapsed="false">
      <c r="A18" s="5" t="s">
        <v>30</v>
      </c>
      <c r="B18" s="5" t="s">
        <v>10</v>
      </c>
      <c r="C18" s="5" t="s">
        <v>11</v>
      </c>
      <c r="D18" s="6" t="s">
        <v>12</v>
      </c>
      <c r="E18" s="5" t="s">
        <v>13</v>
      </c>
      <c r="F18" s="7" t="s">
        <v>14</v>
      </c>
      <c r="G18" s="7"/>
      <c r="H18" s="8"/>
      <c r="I18" s="9" t="str">
        <f aca="false">CONCATENATE(B18, CHAR(10), D18, CHAR(10), "Tax ID: ", F18)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19" customFormat="false" ht="49.25" hidden="false" customHeight="false" outlineLevel="0" collapsed="false">
      <c r="A19" s="10" t="s">
        <v>31</v>
      </c>
      <c r="B19" s="10" t="s">
        <v>10</v>
      </c>
      <c r="C19" s="10" t="s">
        <v>11</v>
      </c>
      <c r="D19" s="11" t="s">
        <v>12</v>
      </c>
      <c r="E19" s="10" t="s">
        <v>13</v>
      </c>
      <c r="F19" s="12" t="s">
        <v>14</v>
      </c>
      <c r="G19" s="12"/>
      <c r="H19" s="13"/>
      <c r="I19" s="14" t="str">
        <f aca="false">CONCATENATE(B19, CHAR(10), D19, CHAR(10), "Tax ID: ", F19)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20" customFormat="false" ht="49.25" hidden="false" customHeight="false" outlineLevel="0" collapsed="false">
      <c r="A20" s="5" t="s">
        <v>32</v>
      </c>
      <c r="B20" s="5" t="s">
        <v>10</v>
      </c>
      <c r="C20" s="5" t="s">
        <v>11</v>
      </c>
      <c r="D20" s="6" t="s">
        <v>12</v>
      </c>
      <c r="E20" s="5" t="s">
        <v>13</v>
      </c>
      <c r="F20" s="7" t="s">
        <v>14</v>
      </c>
      <c r="G20" s="7"/>
      <c r="H20" s="8"/>
      <c r="I20" s="9" t="str">
        <f aca="false">CONCATENATE(B20, CHAR(10), D20, CHAR(10), "Tax ID: ", F20)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21" customFormat="false" ht="49.25" hidden="false" customHeight="false" outlineLevel="0" collapsed="false">
      <c r="A21" s="10" t="s">
        <v>33</v>
      </c>
      <c r="B21" s="10" t="s">
        <v>10</v>
      </c>
      <c r="C21" s="10" t="s">
        <v>11</v>
      </c>
      <c r="D21" s="11" t="s">
        <v>12</v>
      </c>
      <c r="E21" s="10" t="s">
        <v>13</v>
      </c>
      <c r="F21" s="12" t="s">
        <v>14</v>
      </c>
      <c r="G21" s="12"/>
      <c r="H21" s="13"/>
      <c r="I21" s="14" t="str">
        <f aca="false">CONCATENATE(B21, CHAR(10), D21, CHAR(10), "Tax ID: ", F21)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22" customFormat="false" ht="49.25" hidden="false" customHeight="false" outlineLevel="0" collapsed="false">
      <c r="A22" s="5" t="s">
        <v>34</v>
      </c>
      <c r="B22" s="5" t="s">
        <v>10</v>
      </c>
      <c r="C22" s="5" t="s">
        <v>11</v>
      </c>
      <c r="D22" s="6" t="s">
        <v>12</v>
      </c>
      <c r="E22" s="5" t="s">
        <v>13</v>
      </c>
      <c r="F22" s="7" t="s">
        <v>14</v>
      </c>
      <c r="G22" s="7"/>
      <c r="H22" s="8"/>
      <c r="I22" s="9" t="str">
        <f aca="false">CONCATENATE(B22, CHAR(10), D22, CHAR(10), "Tax ID: ", F22)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23" customFormat="false" ht="49.25" hidden="false" customHeight="false" outlineLevel="0" collapsed="false">
      <c r="A23" s="10" t="s">
        <v>35</v>
      </c>
      <c r="B23" s="10" t="s">
        <v>10</v>
      </c>
      <c r="C23" s="10" t="s">
        <v>11</v>
      </c>
      <c r="D23" s="11" t="s">
        <v>12</v>
      </c>
      <c r="E23" s="10" t="s">
        <v>13</v>
      </c>
      <c r="F23" s="12" t="s">
        <v>14</v>
      </c>
      <c r="G23" s="12"/>
      <c r="H23" s="13"/>
      <c r="I23" s="14" t="str">
        <f aca="false">CONCATENATE(B23, CHAR(10), D23, CHAR(10), "Tax ID: ", F23)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24" customFormat="false" ht="49.25" hidden="false" customHeight="false" outlineLevel="0" collapsed="false">
      <c r="A24" s="5" t="s">
        <v>36</v>
      </c>
      <c r="B24" s="5" t="s">
        <v>10</v>
      </c>
      <c r="C24" s="5" t="s">
        <v>11</v>
      </c>
      <c r="D24" s="6" t="s">
        <v>12</v>
      </c>
      <c r="E24" s="5" t="s">
        <v>13</v>
      </c>
      <c r="F24" s="7" t="s">
        <v>14</v>
      </c>
      <c r="G24" s="7"/>
      <c r="H24" s="8"/>
      <c r="I24" s="9" t="str">
        <f aca="false">CONCATENATE(B24, CHAR(10), D24, CHAR(10), "Tax ID: ", F24)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25" customFormat="false" ht="49.25" hidden="false" customHeight="false" outlineLevel="0" collapsed="false">
      <c r="A25" s="10" t="s">
        <v>37</v>
      </c>
      <c r="B25" s="10" t="s">
        <v>10</v>
      </c>
      <c r="C25" s="10" t="s">
        <v>11</v>
      </c>
      <c r="D25" s="11" t="s">
        <v>12</v>
      </c>
      <c r="E25" s="10" t="s">
        <v>13</v>
      </c>
      <c r="F25" s="12" t="s">
        <v>14</v>
      </c>
      <c r="G25" s="12"/>
      <c r="H25" s="13"/>
      <c r="I25" s="14" t="str">
        <f aca="false">CONCATENATE(B25, CHAR(10), D25, CHAR(10), "Tax ID: ", F25)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26" customFormat="false" ht="49.25" hidden="false" customHeight="false" outlineLevel="0" collapsed="false">
      <c r="A26" s="5" t="s">
        <v>38</v>
      </c>
      <c r="B26" s="5" t="s">
        <v>10</v>
      </c>
      <c r="C26" s="5" t="s">
        <v>11</v>
      </c>
      <c r="D26" s="6" t="s">
        <v>12</v>
      </c>
      <c r="E26" s="5" t="s">
        <v>13</v>
      </c>
      <c r="F26" s="7" t="s">
        <v>14</v>
      </c>
      <c r="G26" s="7"/>
      <c r="H26" s="8"/>
      <c r="I26" s="9" t="str">
        <f aca="false">CONCATENATE(B26, CHAR(10), D26, CHAR(10), "Tax ID: ", F26)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27" customFormat="false" ht="49.25" hidden="false" customHeight="false" outlineLevel="0" collapsed="false">
      <c r="A27" s="10" t="s">
        <v>39</v>
      </c>
      <c r="B27" s="10" t="s">
        <v>10</v>
      </c>
      <c r="C27" s="10" t="s">
        <v>11</v>
      </c>
      <c r="D27" s="11" t="s">
        <v>12</v>
      </c>
      <c r="E27" s="10" t="s">
        <v>13</v>
      </c>
      <c r="F27" s="12" t="s">
        <v>14</v>
      </c>
      <c r="G27" s="12"/>
      <c r="H27" s="13"/>
      <c r="I27" s="14" t="str">
        <f aca="false">CONCATENATE(B27, CHAR(10), D27, CHAR(10), "Tax ID: ", F27)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28" customFormat="false" ht="49.25" hidden="false" customHeight="false" outlineLevel="0" collapsed="false">
      <c r="A28" s="5" t="s">
        <v>40</v>
      </c>
      <c r="B28" s="5" t="s">
        <v>10</v>
      </c>
      <c r="C28" s="5" t="s">
        <v>11</v>
      </c>
      <c r="D28" s="6" t="s">
        <v>12</v>
      </c>
      <c r="E28" s="5" t="s">
        <v>13</v>
      </c>
      <c r="F28" s="7" t="s">
        <v>14</v>
      </c>
      <c r="G28" s="7"/>
      <c r="H28" s="8"/>
      <c r="I28" s="9" t="str">
        <f aca="false">CONCATENATE(B28, CHAR(10), D28, CHAR(10), "Tax ID: ", F28)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29" customFormat="false" ht="49.25" hidden="false" customHeight="false" outlineLevel="0" collapsed="false">
      <c r="A29" s="10" t="s">
        <v>41</v>
      </c>
      <c r="B29" s="10" t="s">
        <v>10</v>
      </c>
      <c r="C29" s="10" t="s">
        <v>11</v>
      </c>
      <c r="D29" s="11" t="s">
        <v>12</v>
      </c>
      <c r="E29" s="10" t="s">
        <v>13</v>
      </c>
      <c r="F29" s="12" t="s">
        <v>14</v>
      </c>
      <c r="G29" s="12"/>
      <c r="H29" s="13"/>
      <c r="I29" s="14" t="str">
        <f aca="false">CONCATENATE(B29, CHAR(10), D29, CHAR(10), "Tax ID: ", F29)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30" customFormat="false" ht="49.25" hidden="false" customHeight="false" outlineLevel="0" collapsed="false">
      <c r="A30" s="5" t="s">
        <v>42</v>
      </c>
      <c r="B30" s="5" t="s">
        <v>10</v>
      </c>
      <c r="C30" s="5" t="s">
        <v>11</v>
      </c>
      <c r="D30" s="6" t="s">
        <v>12</v>
      </c>
      <c r="E30" s="5" t="s">
        <v>13</v>
      </c>
      <c r="F30" s="7" t="s">
        <v>14</v>
      </c>
      <c r="G30" s="7"/>
      <c r="H30" s="8"/>
      <c r="I30" s="9" t="str">
        <f aca="false">CONCATENATE(B30, CHAR(10), D30, CHAR(10), "Tax ID: ", F30)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31" customFormat="false" ht="49.25" hidden="false" customHeight="false" outlineLevel="0" collapsed="false">
      <c r="A31" s="10" t="s">
        <v>43</v>
      </c>
      <c r="B31" s="10" t="s">
        <v>10</v>
      </c>
      <c r="C31" s="10" t="s">
        <v>11</v>
      </c>
      <c r="D31" s="11" t="s">
        <v>12</v>
      </c>
      <c r="E31" s="10" t="s">
        <v>13</v>
      </c>
      <c r="F31" s="12" t="s">
        <v>14</v>
      </c>
      <c r="G31" s="12"/>
      <c r="H31" s="13"/>
      <c r="I31" s="14" t="str">
        <f aca="false">CONCATENATE(B31, CHAR(10), D31, CHAR(10), "Tax ID: ", F31)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32" customFormat="false" ht="49.25" hidden="false" customHeight="false" outlineLevel="0" collapsed="false">
      <c r="A32" s="5" t="s">
        <v>44</v>
      </c>
      <c r="B32" s="5" t="s">
        <v>10</v>
      </c>
      <c r="C32" s="5" t="s">
        <v>11</v>
      </c>
      <c r="D32" s="6" t="s">
        <v>12</v>
      </c>
      <c r="E32" s="5" t="s">
        <v>13</v>
      </c>
      <c r="F32" s="7" t="s">
        <v>14</v>
      </c>
      <c r="G32" s="7"/>
      <c r="H32" s="8"/>
      <c r="I32" s="9" t="str">
        <f aca="false">CONCATENATE(B32, CHAR(10), D32, CHAR(10), "Tax ID: ", F32)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33" customFormat="false" ht="49.25" hidden="false" customHeight="false" outlineLevel="0" collapsed="false">
      <c r="A33" s="10" t="s">
        <v>45</v>
      </c>
      <c r="B33" s="10" t="s">
        <v>10</v>
      </c>
      <c r="C33" s="10" t="s">
        <v>11</v>
      </c>
      <c r="D33" s="11" t="s">
        <v>12</v>
      </c>
      <c r="E33" s="10" t="s">
        <v>13</v>
      </c>
      <c r="F33" s="12" t="s">
        <v>14</v>
      </c>
      <c r="G33" s="12"/>
      <c r="H33" s="13"/>
      <c r="I33" s="14" t="str">
        <f aca="false">CONCATENATE(B33, CHAR(10), D33, CHAR(10), "Tax ID: ", F33)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34" customFormat="false" ht="49.25" hidden="false" customHeight="false" outlineLevel="0" collapsed="false">
      <c r="A34" s="5" t="s">
        <v>46</v>
      </c>
      <c r="B34" s="5" t="s">
        <v>10</v>
      </c>
      <c r="C34" s="5" t="s">
        <v>11</v>
      </c>
      <c r="D34" s="6" t="s">
        <v>12</v>
      </c>
      <c r="E34" s="5" t="s">
        <v>13</v>
      </c>
      <c r="F34" s="7" t="s">
        <v>14</v>
      </c>
      <c r="G34" s="7"/>
      <c r="H34" s="8"/>
      <c r="I34" s="9" t="str">
        <f aca="false">CONCATENATE(B34, CHAR(10), D34, CHAR(10), "Tax ID: ", F34)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35" customFormat="false" ht="49.25" hidden="false" customHeight="false" outlineLevel="0" collapsed="false">
      <c r="A35" s="10" t="s">
        <v>47</v>
      </c>
      <c r="B35" s="10" t="s">
        <v>10</v>
      </c>
      <c r="C35" s="10" t="s">
        <v>11</v>
      </c>
      <c r="D35" s="11" t="s">
        <v>12</v>
      </c>
      <c r="E35" s="10" t="s">
        <v>13</v>
      </c>
      <c r="F35" s="12" t="s">
        <v>14</v>
      </c>
      <c r="G35" s="12"/>
      <c r="H35" s="13"/>
      <c r="I35" s="14" t="str">
        <f aca="false">CONCATENATE(B35, CHAR(10), D35, CHAR(10), "Tax ID: ", F35)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36" customFormat="false" ht="49.25" hidden="false" customHeight="false" outlineLevel="0" collapsed="false">
      <c r="A36" s="5" t="s">
        <v>48</v>
      </c>
      <c r="B36" s="5" t="s">
        <v>10</v>
      </c>
      <c r="C36" s="5" t="s">
        <v>11</v>
      </c>
      <c r="D36" s="6" t="s">
        <v>12</v>
      </c>
      <c r="E36" s="5" t="s">
        <v>13</v>
      </c>
      <c r="F36" s="7" t="s">
        <v>14</v>
      </c>
      <c r="G36" s="7"/>
      <c r="H36" s="8"/>
      <c r="I36" s="9" t="str">
        <f aca="false">CONCATENATE(B36, CHAR(10), D36, CHAR(10), "Tax ID: ", F36)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37" customFormat="false" ht="49.25" hidden="false" customHeight="false" outlineLevel="0" collapsed="false">
      <c r="A37" s="10" t="s">
        <v>49</v>
      </c>
      <c r="B37" s="10" t="s">
        <v>10</v>
      </c>
      <c r="C37" s="10" t="s">
        <v>11</v>
      </c>
      <c r="D37" s="11" t="s">
        <v>12</v>
      </c>
      <c r="E37" s="10" t="s">
        <v>13</v>
      </c>
      <c r="F37" s="12" t="s">
        <v>14</v>
      </c>
      <c r="G37" s="12"/>
      <c r="H37" s="13"/>
      <c r="I37" s="14" t="str">
        <f aca="false">CONCATENATE(B37, CHAR(10), D37, CHAR(10), "Tax ID: ", F37)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38" customFormat="false" ht="49.25" hidden="false" customHeight="false" outlineLevel="0" collapsed="false">
      <c r="A38" s="5" t="s">
        <v>50</v>
      </c>
      <c r="B38" s="5" t="s">
        <v>10</v>
      </c>
      <c r="C38" s="5" t="s">
        <v>11</v>
      </c>
      <c r="D38" s="6" t="s">
        <v>12</v>
      </c>
      <c r="E38" s="5" t="s">
        <v>13</v>
      </c>
      <c r="F38" s="7" t="s">
        <v>14</v>
      </c>
      <c r="G38" s="7"/>
      <c r="H38" s="8"/>
      <c r="I38" s="9" t="str">
        <f aca="false">CONCATENATE(B38, CHAR(10), D38, CHAR(10), "Tax ID: ", F38)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39" customFormat="false" ht="49.25" hidden="false" customHeight="false" outlineLevel="0" collapsed="false">
      <c r="A39" s="10" t="s">
        <v>51</v>
      </c>
      <c r="B39" s="10" t="s">
        <v>10</v>
      </c>
      <c r="C39" s="10" t="s">
        <v>11</v>
      </c>
      <c r="D39" s="11" t="s">
        <v>12</v>
      </c>
      <c r="E39" s="10" t="s">
        <v>13</v>
      </c>
      <c r="F39" s="12" t="s">
        <v>14</v>
      </c>
      <c r="G39" s="12"/>
      <c r="H39" s="13"/>
      <c r="I39" s="14" t="str">
        <f aca="false">CONCATENATE(B39, CHAR(10), D39, CHAR(10), "Tax ID: ", F39)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40" customFormat="false" ht="49.25" hidden="false" customHeight="false" outlineLevel="0" collapsed="false">
      <c r="A40" s="5" t="s">
        <v>52</v>
      </c>
      <c r="B40" s="5" t="s">
        <v>10</v>
      </c>
      <c r="C40" s="5" t="s">
        <v>11</v>
      </c>
      <c r="D40" s="6" t="s">
        <v>12</v>
      </c>
      <c r="E40" s="5" t="s">
        <v>13</v>
      </c>
      <c r="F40" s="7" t="s">
        <v>14</v>
      </c>
      <c r="G40" s="7"/>
      <c r="H40" s="8"/>
      <c r="I40" s="9" t="str">
        <f aca="false">CONCATENATE(B40, CHAR(10), D40, CHAR(10), "Tax ID: ", F40)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41" customFormat="false" ht="49.25" hidden="false" customHeight="false" outlineLevel="0" collapsed="false">
      <c r="A41" s="10" t="s">
        <v>53</v>
      </c>
      <c r="B41" s="10" t="s">
        <v>10</v>
      </c>
      <c r="C41" s="10" t="s">
        <v>11</v>
      </c>
      <c r="D41" s="11" t="s">
        <v>12</v>
      </c>
      <c r="E41" s="10" t="s">
        <v>13</v>
      </c>
      <c r="F41" s="12" t="s">
        <v>14</v>
      </c>
      <c r="G41" s="12"/>
      <c r="H41" s="13"/>
      <c r="I41" s="14" t="str">
        <f aca="false">CONCATENATE(B41, CHAR(10), D41, CHAR(10), "Tax ID: ", F41)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42" customFormat="false" ht="49.25" hidden="false" customHeight="false" outlineLevel="0" collapsed="false">
      <c r="A42" s="5" t="s">
        <v>54</v>
      </c>
      <c r="B42" s="5" t="s">
        <v>10</v>
      </c>
      <c r="C42" s="5" t="s">
        <v>11</v>
      </c>
      <c r="D42" s="6" t="s">
        <v>12</v>
      </c>
      <c r="E42" s="5" t="s">
        <v>13</v>
      </c>
      <c r="F42" s="7" t="s">
        <v>14</v>
      </c>
      <c r="G42" s="15" t="n">
        <v>1214</v>
      </c>
      <c r="H42" s="8" t="n">
        <v>10214</v>
      </c>
      <c r="I42" s="9" t="str">
        <f aca="false">CONCATENATE(B42, CHAR(10), D42, CHAR(10), "Tax ID: ", F42)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43" customFormat="false" ht="49.25" hidden="false" customHeight="false" outlineLevel="0" collapsed="false">
      <c r="A43" s="10" t="s">
        <v>55</v>
      </c>
      <c r="B43" s="10" t="s">
        <v>10</v>
      </c>
      <c r="C43" s="10" t="s">
        <v>11</v>
      </c>
      <c r="D43" s="11" t="s">
        <v>12</v>
      </c>
      <c r="E43" s="10" t="s">
        <v>13</v>
      </c>
      <c r="F43" s="12" t="s">
        <v>14</v>
      </c>
      <c r="G43" s="12"/>
      <c r="H43" s="13"/>
      <c r="I43" s="14" t="str">
        <f aca="false">CONCATENATE(B43, CHAR(10), D43, CHAR(10), "Tax ID: ", F43)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44" customFormat="false" ht="49.25" hidden="false" customHeight="false" outlineLevel="0" collapsed="false">
      <c r="A44" s="5" t="s">
        <v>56</v>
      </c>
      <c r="B44" s="5" t="s">
        <v>10</v>
      </c>
      <c r="C44" s="5" t="s">
        <v>11</v>
      </c>
      <c r="D44" s="6" t="s">
        <v>12</v>
      </c>
      <c r="E44" s="5" t="s">
        <v>13</v>
      </c>
      <c r="F44" s="7" t="s">
        <v>14</v>
      </c>
      <c r="G44" s="7"/>
      <c r="H44" s="8"/>
      <c r="I44" s="9" t="str">
        <f aca="false">CONCATENATE(B44, CHAR(10), D44, CHAR(10), "Tax ID: ", F44)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45" customFormat="false" ht="49.25" hidden="false" customHeight="false" outlineLevel="0" collapsed="false">
      <c r="A45" s="10" t="s">
        <v>57</v>
      </c>
      <c r="B45" s="10" t="s">
        <v>10</v>
      </c>
      <c r="C45" s="10" t="s">
        <v>11</v>
      </c>
      <c r="D45" s="11" t="s">
        <v>12</v>
      </c>
      <c r="E45" s="10" t="s">
        <v>13</v>
      </c>
      <c r="F45" s="12" t="s">
        <v>14</v>
      </c>
      <c r="G45" s="12"/>
      <c r="H45" s="13"/>
      <c r="I45" s="14" t="str">
        <f aca="false">CONCATENATE(B45, CHAR(10), D45, CHAR(10), "Tax ID: ", F45)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46" customFormat="false" ht="49.25" hidden="false" customHeight="false" outlineLevel="0" collapsed="false">
      <c r="A46" s="5" t="s">
        <v>58</v>
      </c>
      <c r="B46" s="5" t="s">
        <v>10</v>
      </c>
      <c r="C46" s="5" t="s">
        <v>11</v>
      </c>
      <c r="D46" s="6" t="s">
        <v>12</v>
      </c>
      <c r="E46" s="5" t="s">
        <v>13</v>
      </c>
      <c r="F46" s="7" t="s">
        <v>14</v>
      </c>
      <c r="G46" s="7"/>
      <c r="H46" s="8"/>
      <c r="I46" s="9" t="str">
        <f aca="false">CONCATENATE(B46, CHAR(10), D46, CHAR(10), "Tax ID: ", F46)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47" customFormat="false" ht="49.25" hidden="false" customHeight="false" outlineLevel="0" collapsed="false">
      <c r="A47" s="10" t="s">
        <v>59</v>
      </c>
      <c r="B47" s="10" t="s">
        <v>10</v>
      </c>
      <c r="C47" s="10" t="s">
        <v>11</v>
      </c>
      <c r="D47" s="11" t="s">
        <v>12</v>
      </c>
      <c r="E47" s="10" t="s">
        <v>13</v>
      </c>
      <c r="F47" s="12" t="s">
        <v>14</v>
      </c>
      <c r="G47" s="12"/>
      <c r="H47" s="13"/>
      <c r="I47" s="14" t="str">
        <f aca="false">CONCATENATE(B47, CHAR(10), D47, CHAR(10), "Tax ID: ", F47)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48" customFormat="false" ht="49.25" hidden="false" customHeight="false" outlineLevel="0" collapsed="false">
      <c r="A48" s="5" t="s">
        <v>60</v>
      </c>
      <c r="B48" s="5" t="s">
        <v>10</v>
      </c>
      <c r="C48" s="5" t="s">
        <v>11</v>
      </c>
      <c r="D48" s="6" t="s">
        <v>12</v>
      </c>
      <c r="E48" s="5" t="s">
        <v>13</v>
      </c>
      <c r="F48" s="7" t="s">
        <v>14</v>
      </c>
      <c r="G48" s="7"/>
      <c r="H48" s="8"/>
      <c r="I48" s="9" t="str">
        <f aca="false">CONCATENATE(B48, CHAR(10), D48, CHAR(10), "Tax ID: ", F48)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49" customFormat="false" ht="49.25" hidden="false" customHeight="false" outlineLevel="0" collapsed="false">
      <c r="A49" s="10" t="s">
        <v>61</v>
      </c>
      <c r="B49" s="10" t="s">
        <v>10</v>
      </c>
      <c r="C49" s="10" t="s">
        <v>11</v>
      </c>
      <c r="D49" s="11" t="s">
        <v>12</v>
      </c>
      <c r="E49" s="10" t="s">
        <v>13</v>
      </c>
      <c r="F49" s="12" t="s">
        <v>14</v>
      </c>
      <c r="G49" s="12"/>
      <c r="H49" s="13"/>
      <c r="I49" s="14" t="str">
        <f aca="false">CONCATENATE(B49, CHAR(10), D49, CHAR(10), "Tax ID: ", F49)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50" customFormat="false" ht="49.25" hidden="false" customHeight="false" outlineLevel="0" collapsed="false">
      <c r="A50" s="5" t="s">
        <v>62</v>
      </c>
      <c r="B50" s="5" t="s">
        <v>10</v>
      </c>
      <c r="C50" s="5" t="s">
        <v>11</v>
      </c>
      <c r="D50" s="6" t="s">
        <v>12</v>
      </c>
      <c r="E50" s="5" t="s">
        <v>13</v>
      </c>
      <c r="F50" s="7" t="s">
        <v>14</v>
      </c>
      <c r="G50" s="7"/>
      <c r="H50" s="8"/>
      <c r="I50" s="9" t="str">
        <f aca="false">CONCATENATE(B50, CHAR(10), D50, CHAR(10), "Tax ID: ", F50)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51" customFormat="false" ht="49.25" hidden="false" customHeight="false" outlineLevel="0" collapsed="false">
      <c r="A51" s="10" t="s">
        <v>63</v>
      </c>
      <c r="B51" s="10" t="s">
        <v>10</v>
      </c>
      <c r="C51" s="10" t="s">
        <v>11</v>
      </c>
      <c r="D51" s="11" t="s">
        <v>12</v>
      </c>
      <c r="E51" s="10" t="s">
        <v>13</v>
      </c>
      <c r="F51" s="12" t="s">
        <v>14</v>
      </c>
      <c r="G51" s="12"/>
      <c r="H51" s="13"/>
      <c r="I51" s="14" t="str">
        <f aca="false">CONCATENATE(B51, CHAR(10), D51, CHAR(10), "Tax ID: ", F51)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52" customFormat="false" ht="49.25" hidden="false" customHeight="false" outlineLevel="0" collapsed="false">
      <c r="A52" s="5" t="s">
        <v>64</v>
      </c>
      <c r="B52" s="5" t="s">
        <v>10</v>
      </c>
      <c r="C52" s="5" t="s">
        <v>11</v>
      </c>
      <c r="D52" s="6" t="s">
        <v>12</v>
      </c>
      <c r="E52" s="5" t="s">
        <v>13</v>
      </c>
      <c r="F52" s="7" t="s">
        <v>14</v>
      </c>
      <c r="G52" s="7"/>
      <c r="H52" s="8"/>
      <c r="I52" s="9" t="str">
        <f aca="false">CONCATENATE(B52, CHAR(10), D52, CHAR(10), "Tax ID: ", F52)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53" customFormat="false" ht="49.25" hidden="false" customHeight="false" outlineLevel="0" collapsed="false">
      <c r="A53" s="10" t="s">
        <v>65</v>
      </c>
      <c r="B53" s="10" t="s">
        <v>10</v>
      </c>
      <c r="C53" s="10" t="s">
        <v>11</v>
      </c>
      <c r="D53" s="11" t="s">
        <v>12</v>
      </c>
      <c r="E53" s="10" t="s">
        <v>13</v>
      </c>
      <c r="F53" s="12" t="s">
        <v>14</v>
      </c>
      <c r="G53" s="12"/>
      <c r="H53" s="13"/>
      <c r="I53" s="14" t="str">
        <f aca="false">CONCATENATE(B53, CHAR(10), D53, CHAR(10), "Tax ID: ", F53)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54" customFormat="false" ht="49.25" hidden="false" customHeight="false" outlineLevel="0" collapsed="false">
      <c r="A54" s="5" t="s">
        <v>66</v>
      </c>
      <c r="B54" s="5" t="s">
        <v>10</v>
      </c>
      <c r="C54" s="5" t="s">
        <v>11</v>
      </c>
      <c r="D54" s="6" t="s">
        <v>12</v>
      </c>
      <c r="E54" s="5" t="s">
        <v>13</v>
      </c>
      <c r="F54" s="7" t="s">
        <v>14</v>
      </c>
      <c r="G54" s="7"/>
      <c r="H54" s="8"/>
      <c r="I54" s="9" t="str">
        <f aca="false">CONCATENATE(B54, CHAR(10), D54, CHAR(10), "Tax ID: ", F54)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55" customFormat="false" ht="49.25" hidden="false" customHeight="false" outlineLevel="0" collapsed="false">
      <c r="A55" s="10" t="s">
        <v>67</v>
      </c>
      <c r="B55" s="10" t="s">
        <v>10</v>
      </c>
      <c r="C55" s="10" t="s">
        <v>11</v>
      </c>
      <c r="D55" s="11" t="s">
        <v>12</v>
      </c>
      <c r="E55" s="10" t="s">
        <v>13</v>
      </c>
      <c r="F55" s="12" t="s">
        <v>14</v>
      </c>
      <c r="G55" s="12"/>
      <c r="H55" s="13"/>
      <c r="I55" s="14" t="str">
        <f aca="false">CONCATENATE(B55, CHAR(10), D55, CHAR(10), "Tax ID: ", F55)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56" customFormat="false" ht="49.25" hidden="false" customHeight="false" outlineLevel="0" collapsed="false">
      <c r="A56" s="16" t="s">
        <v>68</v>
      </c>
      <c r="B56" s="5" t="s">
        <v>10</v>
      </c>
      <c r="C56" s="5" t="s">
        <v>11</v>
      </c>
      <c r="D56" s="6" t="s">
        <v>12</v>
      </c>
      <c r="E56" s="5" t="s">
        <v>13</v>
      </c>
      <c r="F56" s="7" t="s">
        <v>14</v>
      </c>
      <c r="G56" s="7"/>
      <c r="H56" s="8"/>
      <c r="I56" s="9" t="str">
        <f aca="false">CONCATENATE(B56, CHAR(10), D56, CHAR(10), "Tax ID: ", F56)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57" customFormat="false" ht="49.25" hidden="false" customHeight="false" outlineLevel="0" collapsed="false">
      <c r="A57" s="10" t="s">
        <v>69</v>
      </c>
      <c r="B57" s="10" t="s">
        <v>10</v>
      </c>
      <c r="C57" s="10" t="s">
        <v>11</v>
      </c>
      <c r="D57" s="11" t="s">
        <v>12</v>
      </c>
      <c r="E57" s="10" t="s">
        <v>13</v>
      </c>
      <c r="F57" s="12" t="s">
        <v>14</v>
      </c>
      <c r="G57" s="12"/>
      <c r="H57" s="13"/>
      <c r="I57" s="14" t="str">
        <f aca="false">CONCATENATE(B57, CHAR(10), D57, CHAR(10), "Tax ID: ", F57)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58" customFormat="false" ht="49.25" hidden="false" customHeight="false" outlineLevel="0" collapsed="false">
      <c r="A58" s="5" t="s">
        <v>70</v>
      </c>
      <c r="B58" s="5" t="s">
        <v>10</v>
      </c>
      <c r="C58" s="5" t="s">
        <v>11</v>
      </c>
      <c r="D58" s="6" t="s">
        <v>12</v>
      </c>
      <c r="E58" s="5" t="s">
        <v>13</v>
      </c>
      <c r="F58" s="7" t="s">
        <v>14</v>
      </c>
      <c r="G58" s="7"/>
      <c r="H58" s="8"/>
      <c r="I58" s="9" t="str">
        <f aca="false">CONCATENATE(B58, CHAR(10), D58, CHAR(10), "Tax ID: ", F58)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59" customFormat="false" ht="49.25" hidden="false" customHeight="false" outlineLevel="0" collapsed="false">
      <c r="A59" s="10" t="s">
        <v>71</v>
      </c>
      <c r="B59" s="10" t="s">
        <v>10</v>
      </c>
      <c r="C59" s="10" t="s">
        <v>11</v>
      </c>
      <c r="D59" s="11" t="s">
        <v>12</v>
      </c>
      <c r="E59" s="10" t="s">
        <v>13</v>
      </c>
      <c r="F59" s="12" t="s">
        <v>14</v>
      </c>
      <c r="G59" s="12"/>
      <c r="H59" s="13"/>
      <c r="I59" s="14" t="str">
        <f aca="false">CONCATENATE(B59, CHAR(10), D59, CHAR(10), "Tax ID: ", F59)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60" customFormat="false" ht="49.25" hidden="false" customHeight="false" outlineLevel="0" collapsed="false">
      <c r="A60" s="5" t="s">
        <v>72</v>
      </c>
      <c r="B60" s="5" t="s">
        <v>10</v>
      </c>
      <c r="C60" s="5" t="s">
        <v>11</v>
      </c>
      <c r="D60" s="6" t="s">
        <v>12</v>
      </c>
      <c r="E60" s="5" t="s">
        <v>13</v>
      </c>
      <c r="F60" s="7" t="s">
        <v>14</v>
      </c>
      <c r="G60" s="7"/>
      <c r="H60" s="8"/>
      <c r="I60" s="9" t="str">
        <f aca="false">CONCATENATE(B60, CHAR(10), D60, CHAR(10), "Tax ID: ", F60)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61" customFormat="false" ht="49.25" hidden="false" customHeight="false" outlineLevel="0" collapsed="false">
      <c r="A61" s="10" t="s">
        <v>73</v>
      </c>
      <c r="B61" s="10" t="s">
        <v>10</v>
      </c>
      <c r="C61" s="10" t="s">
        <v>11</v>
      </c>
      <c r="D61" s="11" t="s">
        <v>12</v>
      </c>
      <c r="E61" s="10" t="s">
        <v>13</v>
      </c>
      <c r="F61" s="12" t="s">
        <v>14</v>
      </c>
      <c r="G61" s="12"/>
      <c r="H61" s="13"/>
      <c r="I61" s="14" t="str">
        <f aca="false">CONCATENATE(B61, CHAR(10), D61, CHAR(10), "Tax ID: ", F61)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62" customFormat="false" ht="49.25" hidden="false" customHeight="false" outlineLevel="0" collapsed="false">
      <c r="A62" s="5" t="s">
        <v>74</v>
      </c>
      <c r="B62" s="5" t="s">
        <v>10</v>
      </c>
      <c r="C62" s="5" t="s">
        <v>11</v>
      </c>
      <c r="D62" s="6" t="s">
        <v>12</v>
      </c>
      <c r="E62" s="5" t="s">
        <v>13</v>
      </c>
      <c r="F62" s="7" t="s">
        <v>14</v>
      </c>
      <c r="G62" s="7"/>
      <c r="H62" s="8"/>
      <c r="I62" s="9" t="str">
        <f aca="false">CONCATENATE(B62, CHAR(10), D62, CHAR(10), "Tax ID: ", F62)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63" customFormat="false" ht="49.25" hidden="false" customHeight="false" outlineLevel="0" collapsed="false">
      <c r="A63" s="10" t="s">
        <v>75</v>
      </c>
      <c r="B63" s="10" t="s">
        <v>10</v>
      </c>
      <c r="C63" s="10" t="s">
        <v>11</v>
      </c>
      <c r="D63" s="11" t="s">
        <v>12</v>
      </c>
      <c r="E63" s="10" t="s">
        <v>13</v>
      </c>
      <c r="F63" s="12" t="s">
        <v>14</v>
      </c>
      <c r="G63" s="12"/>
      <c r="H63" s="13"/>
      <c r="I63" s="14" t="str">
        <f aca="false">CONCATENATE(B63, CHAR(10), D63, CHAR(10), "Tax ID: ", F63)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64" customFormat="false" ht="49.25" hidden="false" customHeight="false" outlineLevel="0" collapsed="false">
      <c r="A64" s="5" t="s">
        <v>76</v>
      </c>
      <c r="B64" s="5" t="s">
        <v>10</v>
      </c>
      <c r="C64" s="5" t="s">
        <v>11</v>
      </c>
      <c r="D64" s="6" t="s">
        <v>12</v>
      </c>
      <c r="E64" s="5" t="s">
        <v>13</v>
      </c>
      <c r="F64" s="7" t="s">
        <v>14</v>
      </c>
      <c r="G64" s="7"/>
      <c r="H64" s="8"/>
      <c r="I64" s="9" t="str">
        <f aca="false">CONCATENATE(B64, CHAR(10), D64, CHAR(10), "Tax ID: ", F64)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65" customFormat="false" ht="49.25" hidden="false" customHeight="false" outlineLevel="0" collapsed="false">
      <c r="A65" s="10" t="s">
        <v>77</v>
      </c>
      <c r="B65" s="10" t="s">
        <v>10</v>
      </c>
      <c r="C65" s="10" t="s">
        <v>11</v>
      </c>
      <c r="D65" s="11" t="s">
        <v>12</v>
      </c>
      <c r="E65" s="10" t="s">
        <v>13</v>
      </c>
      <c r="F65" s="12" t="s">
        <v>14</v>
      </c>
      <c r="G65" s="12"/>
      <c r="H65" s="13"/>
      <c r="I65" s="14" t="str">
        <f aca="false">CONCATENATE(B65, CHAR(10), D65, CHAR(10), "Tax ID: ", F65)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66" customFormat="false" ht="49.25" hidden="false" customHeight="false" outlineLevel="0" collapsed="false">
      <c r="A66" s="5" t="s">
        <v>78</v>
      </c>
      <c r="B66" s="5" t="s">
        <v>10</v>
      </c>
      <c r="C66" s="5" t="s">
        <v>11</v>
      </c>
      <c r="D66" s="6" t="s">
        <v>12</v>
      </c>
      <c r="E66" s="5" t="s">
        <v>13</v>
      </c>
      <c r="F66" s="7" t="s">
        <v>14</v>
      </c>
      <c r="G66" s="7"/>
      <c r="H66" s="8"/>
      <c r="I66" s="9" t="str">
        <f aca="false">CONCATENATE(B66, CHAR(10), D66, CHAR(10), "Tax ID: ", F66)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67" customFormat="false" ht="49.25" hidden="false" customHeight="false" outlineLevel="0" collapsed="false">
      <c r="A67" s="10" t="s">
        <v>79</v>
      </c>
      <c r="B67" s="10" t="s">
        <v>10</v>
      </c>
      <c r="C67" s="10" t="s">
        <v>11</v>
      </c>
      <c r="D67" s="11" t="s">
        <v>12</v>
      </c>
      <c r="E67" s="10" t="s">
        <v>13</v>
      </c>
      <c r="F67" s="12" t="s">
        <v>14</v>
      </c>
      <c r="G67" s="12"/>
      <c r="H67" s="13"/>
      <c r="I67" s="14" t="str">
        <f aca="false">CONCATENATE(B67, CHAR(10), D67, CHAR(10), "Tax ID: ", F67)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68" customFormat="false" ht="49.25" hidden="false" customHeight="false" outlineLevel="0" collapsed="false">
      <c r="A68" s="5" t="s">
        <v>80</v>
      </c>
      <c r="B68" s="5" t="s">
        <v>10</v>
      </c>
      <c r="C68" s="5" t="s">
        <v>11</v>
      </c>
      <c r="D68" s="6" t="s">
        <v>12</v>
      </c>
      <c r="E68" s="5" t="s">
        <v>13</v>
      </c>
      <c r="F68" s="7" t="s">
        <v>14</v>
      </c>
      <c r="G68" s="7"/>
      <c r="H68" s="8"/>
      <c r="I68" s="9" t="str">
        <f aca="false">CONCATENATE(B68, CHAR(10), D68, CHAR(10), "Tax ID: ", F68)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69" customFormat="false" ht="49.25" hidden="false" customHeight="false" outlineLevel="0" collapsed="false">
      <c r="A69" s="10" t="s">
        <v>81</v>
      </c>
      <c r="B69" s="10" t="s">
        <v>10</v>
      </c>
      <c r="C69" s="10" t="s">
        <v>11</v>
      </c>
      <c r="D69" s="11" t="s">
        <v>12</v>
      </c>
      <c r="E69" s="10" t="s">
        <v>13</v>
      </c>
      <c r="F69" s="12" t="s">
        <v>14</v>
      </c>
      <c r="G69" s="12"/>
      <c r="H69" s="13"/>
      <c r="I69" s="14" t="str">
        <f aca="false">CONCATENATE(B69, CHAR(10), D69, CHAR(10), "Tax ID: ", F69)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70" customFormat="false" ht="49.25" hidden="false" customHeight="false" outlineLevel="0" collapsed="false">
      <c r="A70" s="5" t="s">
        <v>82</v>
      </c>
      <c r="B70" s="5" t="s">
        <v>10</v>
      </c>
      <c r="C70" s="5" t="s">
        <v>11</v>
      </c>
      <c r="D70" s="6" t="s">
        <v>12</v>
      </c>
      <c r="E70" s="5" t="s">
        <v>13</v>
      </c>
      <c r="F70" s="7" t="s">
        <v>14</v>
      </c>
      <c r="G70" s="7"/>
      <c r="H70" s="8"/>
      <c r="I70" s="9" t="str">
        <f aca="false">CONCATENATE(B70, CHAR(10), D70, CHAR(10), "Tax ID: ", F70)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71" customFormat="false" ht="49.25" hidden="false" customHeight="false" outlineLevel="0" collapsed="false">
      <c r="A71" s="10" t="s">
        <v>83</v>
      </c>
      <c r="B71" s="10" t="s">
        <v>10</v>
      </c>
      <c r="C71" s="10" t="s">
        <v>11</v>
      </c>
      <c r="D71" s="11" t="s">
        <v>12</v>
      </c>
      <c r="E71" s="10" t="s">
        <v>13</v>
      </c>
      <c r="F71" s="12" t="s">
        <v>14</v>
      </c>
      <c r="G71" s="12"/>
      <c r="H71" s="13"/>
      <c r="I71" s="14" t="str">
        <f aca="false">CONCATENATE(B71, CHAR(10), D71, CHAR(10), "Tax ID: ", F71)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72" customFormat="false" ht="49.25" hidden="false" customHeight="false" outlineLevel="0" collapsed="false">
      <c r="A72" s="5" t="s">
        <v>84</v>
      </c>
      <c r="B72" s="5" t="s">
        <v>10</v>
      </c>
      <c r="C72" s="5" t="s">
        <v>11</v>
      </c>
      <c r="D72" s="6" t="s">
        <v>12</v>
      </c>
      <c r="E72" s="5" t="s">
        <v>13</v>
      </c>
      <c r="F72" s="7" t="s">
        <v>14</v>
      </c>
      <c r="G72" s="7"/>
      <c r="H72" s="8"/>
      <c r="I72" s="9" t="str">
        <f aca="false">CONCATENATE(B72, CHAR(10), D72, CHAR(10), "Tax ID: ", F72)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73" customFormat="false" ht="49.25" hidden="false" customHeight="false" outlineLevel="0" collapsed="false">
      <c r="A73" s="10" t="s">
        <v>85</v>
      </c>
      <c r="B73" s="10" t="s">
        <v>10</v>
      </c>
      <c r="C73" s="10" t="s">
        <v>11</v>
      </c>
      <c r="D73" s="11" t="s">
        <v>12</v>
      </c>
      <c r="E73" s="10" t="s">
        <v>13</v>
      </c>
      <c r="F73" s="12" t="s">
        <v>14</v>
      </c>
      <c r="G73" s="12"/>
      <c r="H73" s="13"/>
      <c r="I73" s="14" t="str">
        <f aca="false">CONCATENATE(B73, CHAR(10), D73, CHAR(10), "Tax ID: ", F73)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74" customFormat="false" ht="49.25" hidden="false" customHeight="false" outlineLevel="0" collapsed="false">
      <c r="A74" s="5" t="s">
        <v>86</v>
      </c>
      <c r="B74" s="5" t="s">
        <v>10</v>
      </c>
      <c r="C74" s="5" t="s">
        <v>11</v>
      </c>
      <c r="D74" s="6" t="s">
        <v>12</v>
      </c>
      <c r="E74" s="5" t="s">
        <v>13</v>
      </c>
      <c r="F74" s="7" t="s">
        <v>14</v>
      </c>
      <c r="G74" s="7"/>
      <c r="H74" s="8"/>
      <c r="I74" s="9" t="str">
        <f aca="false">CONCATENATE(B74, CHAR(10), D74, CHAR(10), "Tax ID: ", F74)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75" customFormat="false" ht="49.25" hidden="false" customHeight="false" outlineLevel="0" collapsed="false">
      <c r="A75" s="10" t="s">
        <v>87</v>
      </c>
      <c r="B75" s="10" t="s">
        <v>10</v>
      </c>
      <c r="C75" s="10" t="s">
        <v>11</v>
      </c>
      <c r="D75" s="11" t="s">
        <v>12</v>
      </c>
      <c r="E75" s="10" t="s">
        <v>13</v>
      </c>
      <c r="F75" s="12" t="s">
        <v>14</v>
      </c>
      <c r="G75" s="12"/>
      <c r="H75" s="13"/>
      <c r="I75" s="14" t="str">
        <f aca="false">CONCATENATE(B75, CHAR(10), D75, CHAR(10), "Tax ID: ", F75)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76" customFormat="false" ht="49.25" hidden="false" customHeight="false" outlineLevel="0" collapsed="false">
      <c r="A76" s="5" t="s">
        <v>88</v>
      </c>
      <c r="B76" s="5" t="s">
        <v>10</v>
      </c>
      <c r="C76" s="5" t="s">
        <v>11</v>
      </c>
      <c r="D76" s="6" t="s">
        <v>12</v>
      </c>
      <c r="E76" s="5" t="s">
        <v>13</v>
      </c>
      <c r="F76" s="7" t="s">
        <v>14</v>
      </c>
      <c r="G76" s="7"/>
      <c r="H76" s="8"/>
      <c r="I76" s="9" t="str">
        <f aca="false">CONCATENATE(B76, CHAR(10), D76, CHAR(10), "Tax ID: ", F76)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77" customFormat="false" ht="49.25" hidden="false" customHeight="false" outlineLevel="0" collapsed="false">
      <c r="A77" s="10" t="s">
        <v>89</v>
      </c>
      <c r="B77" s="10" t="s">
        <v>10</v>
      </c>
      <c r="C77" s="10" t="s">
        <v>11</v>
      </c>
      <c r="D77" s="11" t="s">
        <v>12</v>
      </c>
      <c r="E77" s="10" t="s">
        <v>13</v>
      </c>
      <c r="F77" s="12" t="s">
        <v>14</v>
      </c>
      <c r="G77" s="12"/>
      <c r="H77" s="13"/>
      <c r="I77" s="14" t="str">
        <f aca="false">CONCATENATE(B77, CHAR(10), D77, CHAR(10), "Tax ID: ", F77)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78" customFormat="false" ht="49.25" hidden="false" customHeight="false" outlineLevel="0" collapsed="false">
      <c r="A78" s="5" t="s">
        <v>90</v>
      </c>
      <c r="B78" s="5" t="s">
        <v>10</v>
      </c>
      <c r="C78" s="5" t="s">
        <v>11</v>
      </c>
      <c r="D78" s="6" t="s">
        <v>12</v>
      </c>
      <c r="E78" s="5" t="s">
        <v>13</v>
      </c>
      <c r="F78" s="7" t="s">
        <v>14</v>
      </c>
      <c r="G78" s="7"/>
      <c r="H78" s="8"/>
      <c r="I78" s="9" t="str">
        <f aca="false">CONCATENATE(B78, CHAR(10), D78, CHAR(10), "Tax ID: ", F78)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79" customFormat="false" ht="49.25" hidden="false" customHeight="false" outlineLevel="0" collapsed="false">
      <c r="A79" s="10" t="s">
        <v>91</v>
      </c>
      <c r="B79" s="10" t="s">
        <v>10</v>
      </c>
      <c r="C79" s="10" t="s">
        <v>11</v>
      </c>
      <c r="D79" s="11" t="s">
        <v>12</v>
      </c>
      <c r="E79" s="10" t="s">
        <v>13</v>
      </c>
      <c r="F79" s="12" t="s">
        <v>14</v>
      </c>
      <c r="G79" s="12"/>
      <c r="H79" s="13"/>
      <c r="I79" s="14" t="str">
        <f aca="false">CONCATENATE(B79, CHAR(10), D79, CHAR(10), "Tax ID: ", F79)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80" customFormat="false" ht="49.25" hidden="false" customHeight="false" outlineLevel="0" collapsed="false">
      <c r="A80" s="5" t="s">
        <v>92</v>
      </c>
      <c r="B80" s="5" t="s">
        <v>10</v>
      </c>
      <c r="C80" s="5" t="s">
        <v>11</v>
      </c>
      <c r="D80" s="6" t="s">
        <v>12</v>
      </c>
      <c r="E80" s="5" t="s">
        <v>13</v>
      </c>
      <c r="F80" s="7" t="s">
        <v>14</v>
      </c>
      <c r="G80" s="7"/>
      <c r="H80" s="8"/>
      <c r="I80" s="9" t="str">
        <f aca="false">CONCATENATE(B80, CHAR(10), D80, CHAR(10), "Tax ID: ", F80)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81" customFormat="false" ht="49.25" hidden="false" customHeight="false" outlineLevel="0" collapsed="false">
      <c r="A81" s="10" t="s">
        <v>93</v>
      </c>
      <c r="B81" s="10" t="s">
        <v>10</v>
      </c>
      <c r="C81" s="10" t="s">
        <v>11</v>
      </c>
      <c r="D81" s="11" t="s">
        <v>12</v>
      </c>
      <c r="E81" s="10" t="s">
        <v>13</v>
      </c>
      <c r="F81" s="12" t="s">
        <v>14</v>
      </c>
      <c r="G81" s="17" t="n">
        <v>1207</v>
      </c>
      <c r="H81" s="13" t="n">
        <v>40089</v>
      </c>
      <c r="I81" s="14" t="str">
        <f aca="false">CONCATENATE(B81, CHAR(10), D81, CHAR(10), "Tax ID: ", F81)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82" customFormat="false" ht="49.25" hidden="false" customHeight="false" outlineLevel="0" collapsed="false">
      <c r="A82" s="5" t="s">
        <v>94</v>
      </c>
      <c r="B82" s="5" t="s">
        <v>10</v>
      </c>
      <c r="C82" s="5" t="s">
        <v>11</v>
      </c>
      <c r="D82" s="6" t="s">
        <v>12</v>
      </c>
      <c r="E82" s="5" t="s">
        <v>13</v>
      </c>
      <c r="F82" s="7" t="s">
        <v>14</v>
      </c>
      <c r="G82" s="7"/>
      <c r="H82" s="8"/>
      <c r="I82" s="9" t="str">
        <f aca="false">CONCATENATE(B82, CHAR(10), D82, CHAR(10), "Tax ID: ", F82)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83" customFormat="false" ht="49.25" hidden="false" customHeight="false" outlineLevel="0" collapsed="false">
      <c r="A83" s="10" t="s">
        <v>95</v>
      </c>
      <c r="B83" s="10" t="s">
        <v>10</v>
      </c>
      <c r="C83" s="10" t="s">
        <v>11</v>
      </c>
      <c r="D83" s="11" t="s">
        <v>12</v>
      </c>
      <c r="E83" s="10" t="s">
        <v>13</v>
      </c>
      <c r="F83" s="12" t="s">
        <v>14</v>
      </c>
      <c r="G83" s="12"/>
      <c r="H83" s="13"/>
      <c r="I83" s="14" t="str">
        <f aca="false">CONCATENATE(B83, CHAR(10), D83, CHAR(10), "Tax ID: ", F83)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84" customFormat="false" ht="49.25" hidden="false" customHeight="false" outlineLevel="0" collapsed="false">
      <c r="A84" s="5" t="s">
        <v>96</v>
      </c>
      <c r="B84" s="5" t="s">
        <v>10</v>
      </c>
      <c r="C84" s="5" t="s">
        <v>11</v>
      </c>
      <c r="D84" s="6" t="s">
        <v>12</v>
      </c>
      <c r="E84" s="5" t="s">
        <v>13</v>
      </c>
      <c r="F84" s="7" t="s">
        <v>14</v>
      </c>
      <c r="G84" s="7"/>
      <c r="H84" s="8"/>
      <c r="I84" s="9" t="str">
        <f aca="false">CONCATENATE(B84, CHAR(10), D84, CHAR(10), "Tax ID: ", F84)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85" customFormat="false" ht="49.25" hidden="false" customHeight="false" outlineLevel="0" collapsed="false">
      <c r="A85" s="10" t="s">
        <v>97</v>
      </c>
      <c r="B85" s="10" t="s">
        <v>10</v>
      </c>
      <c r="C85" s="10" t="s">
        <v>11</v>
      </c>
      <c r="D85" s="11" t="s">
        <v>12</v>
      </c>
      <c r="E85" s="10" t="s">
        <v>13</v>
      </c>
      <c r="F85" s="12" t="s">
        <v>14</v>
      </c>
      <c r="G85" s="12"/>
      <c r="H85" s="13"/>
      <c r="I85" s="14" t="str">
        <f aca="false">CONCATENATE(B85, CHAR(10), D85, CHAR(10), "Tax ID: ", F85)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86" customFormat="false" ht="49.25" hidden="false" customHeight="false" outlineLevel="0" collapsed="false">
      <c r="A86" s="5" t="s">
        <v>98</v>
      </c>
      <c r="B86" s="5" t="s">
        <v>10</v>
      </c>
      <c r="C86" s="5" t="s">
        <v>11</v>
      </c>
      <c r="D86" s="6" t="s">
        <v>12</v>
      </c>
      <c r="E86" s="5" t="s">
        <v>13</v>
      </c>
      <c r="F86" s="7" t="s">
        <v>14</v>
      </c>
      <c r="G86" s="7"/>
      <c r="H86" s="8"/>
      <c r="I86" s="9" t="str">
        <f aca="false">CONCATENATE(B86, CHAR(10), D86, CHAR(10), "Tax ID: ", F86)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87" customFormat="false" ht="49.25" hidden="false" customHeight="false" outlineLevel="0" collapsed="false">
      <c r="A87" s="10" t="s">
        <v>99</v>
      </c>
      <c r="B87" s="10" t="s">
        <v>10</v>
      </c>
      <c r="C87" s="10" t="s">
        <v>11</v>
      </c>
      <c r="D87" s="11" t="s">
        <v>12</v>
      </c>
      <c r="E87" s="10" t="s">
        <v>13</v>
      </c>
      <c r="F87" s="12" t="s">
        <v>14</v>
      </c>
      <c r="G87" s="12"/>
      <c r="H87" s="13"/>
      <c r="I87" s="14" t="str">
        <f aca="false">CONCATENATE(B87, CHAR(10), D87, CHAR(10), "Tax ID: ", F87)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88" customFormat="false" ht="49.25" hidden="false" customHeight="false" outlineLevel="0" collapsed="false">
      <c r="A88" s="5" t="s">
        <v>100</v>
      </c>
      <c r="B88" s="9" t="s">
        <v>101</v>
      </c>
      <c r="C88" s="9" t="s">
        <v>102</v>
      </c>
      <c r="D88" s="18" t="s">
        <v>103</v>
      </c>
      <c r="E88" s="5" t="s">
        <v>104</v>
      </c>
      <c r="F88" s="7" t="s">
        <v>105</v>
      </c>
      <c r="G88" s="7"/>
      <c r="H88" s="8"/>
      <c r="I88" s="19" t="str">
        <f aca="false">CONCATENATE(B88, CHAR(10), D88, CHAR(10), "Tax ID: ", F88)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</row>
    <row r="89" customFormat="false" ht="49.25" hidden="false" customHeight="false" outlineLevel="0" collapsed="false">
      <c r="A89" s="10" t="s">
        <v>106</v>
      </c>
      <c r="B89" s="14" t="s">
        <v>101</v>
      </c>
      <c r="C89" s="14" t="s">
        <v>102</v>
      </c>
      <c r="D89" s="21" t="s">
        <v>103</v>
      </c>
      <c r="E89" s="10" t="s">
        <v>104</v>
      </c>
      <c r="F89" s="12" t="s">
        <v>105</v>
      </c>
      <c r="G89" s="12"/>
      <c r="H89" s="13"/>
      <c r="I89" s="19" t="str">
        <f aca="false">CONCATENATE(B89, CHAR(10), D89, CHAR(10), "Tax ID: ", F89)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</row>
    <row r="90" customFormat="false" ht="49.25" hidden="false" customHeight="false" outlineLevel="0" collapsed="false">
      <c r="A90" s="5" t="s">
        <v>107</v>
      </c>
      <c r="B90" s="9" t="s">
        <v>101</v>
      </c>
      <c r="C90" s="9" t="s">
        <v>102</v>
      </c>
      <c r="D90" s="18" t="s">
        <v>103</v>
      </c>
      <c r="E90" s="5" t="s">
        <v>104</v>
      </c>
      <c r="F90" s="7" t="s">
        <v>105</v>
      </c>
      <c r="G90" s="7"/>
      <c r="H90" s="8"/>
      <c r="I90" s="19" t="str">
        <f aca="false">CONCATENATE(B90, CHAR(10), D90, CHAR(10), "Tax ID: ", F90)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</row>
    <row r="91" customFormat="false" ht="49.25" hidden="false" customHeight="false" outlineLevel="0" collapsed="false">
      <c r="A91" s="10" t="s">
        <v>108</v>
      </c>
      <c r="B91" s="14" t="s">
        <v>101</v>
      </c>
      <c r="C91" s="14" t="s">
        <v>102</v>
      </c>
      <c r="D91" s="21" t="s">
        <v>103</v>
      </c>
      <c r="E91" s="10" t="s">
        <v>104</v>
      </c>
      <c r="F91" s="12" t="s">
        <v>105</v>
      </c>
      <c r="G91" s="12"/>
      <c r="H91" s="13"/>
      <c r="I91" s="19" t="str">
        <f aca="false">CONCATENATE(B91, CHAR(10), D91, CHAR(10), "Tax ID: ", F91)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</row>
    <row r="92" customFormat="false" ht="49.25" hidden="false" customHeight="false" outlineLevel="0" collapsed="false">
      <c r="A92" s="5" t="s">
        <v>109</v>
      </c>
      <c r="B92" s="9" t="s">
        <v>101</v>
      </c>
      <c r="C92" s="9" t="s">
        <v>102</v>
      </c>
      <c r="D92" s="18" t="s">
        <v>103</v>
      </c>
      <c r="E92" s="5" t="s">
        <v>104</v>
      </c>
      <c r="F92" s="7" t="s">
        <v>105</v>
      </c>
      <c r="G92" s="7"/>
      <c r="H92" s="8"/>
      <c r="I92" s="19" t="str">
        <f aca="false">CONCATENATE(B92, CHAR(10), D92, CHAR(10), "Tax ID: ", F92)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</row>
    <row r="93" customFormat="false" ht="49.25" hidden="false" customHeight="false" outlineLevel="0" collapsed="false">
      <c r="A93" s="10" t="s">
        <v>110</v>
      </c>
      <c r="B93" s="14" t="s">
        <v>101</v>
      </c>
      <c r="C93" s="14" t="s">
        <v>102</v>
      </c>
      <c r="D93" s="21" t="s">
        <v>103</v>
      </c>
      <c r="E93" s="10" t="s">
        <v>104</v>
      </c>
      <c r="F93" s="12" t="s">
        <v>105</v>
      </c>
      <c r="G93" s="12"/>
      <c r="H93" s="13"/>
      <c r="I93" s="19" t="str">
        <f aca="false">CONCATENATE(B93, CHAR(10), D93, CHAR(10), "Tax ID: ", F93)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</row>
    <row r="94" customFormat="false" ht="49.25" hidden="false" customHeight="false" outlineLevel="0" collapsed="false">
      <c r="A94" s="5" t="s">
        <v>111</v>
      </c>
      <c r="B94" s="9" t="s">
        <v>101</v>
      </c>
      <c r="C94" s="9" t="s">
        <v>102</v>
      </c>
      <c r="D94" s="18" t="s">
        <v>103</v>
      </c>
      <c r="E94" s="5" t="s">
        <v>104</v>
      </c>
      <c r="F94" s="7" t="s">
        <v>105</v>
      </c>
      <c r="G94" s="7"/>
      <c r="H94" s="8"/>
      <c r="I94" s="19" t="str">
        <f aca="false">CONCATENATE(B94, CHAR(10), D94, CHAR(10), "Tax ID: ", F94)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</row>
    <row r="95" customFormat="false" ht="49.25" hidden="false" customHeight="false" outlineLevel="0" collapsed="false">
      <c r="A95" s="10" t="s">
        <v>112</v>
      </c>
      <c r="B95" s="14" t="s">
        <v>101</v>
      </c>
      <c r="C95" s="14" t="s">
        <v>102</v>
      </c>
      <c r="D95" s="21" t="s">
        <v>103</v>
      </c>
      <c r="E95" s="10" t="s">
        <v>104</v>
      </c>
      <c r="F95" s="12" t="s">
        <v>105</v>
      </c>
      <c r="G95" s="12"/>
      <c r="H95" s="13"/>
      <c r="I95" s="19" t="str">
        <f aca="false">CONCATENATE(B95, CHAR(10), D95, CHAR(10), "Tax ID: ", F95)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</row>
    <row r="96" customFormat="false" ht="49.25" hidden="false" customHeight="false" outlineLevel="0" collapsed="false">
      <c r="A96" s="5" t="s">
        <v>113</v>
      </c>
      <c r="B96" s="9" t="s">
        <v>101</v>
      </c>
      <c r="C96" s="9" t="s">
        <v>102</v>
      </c>
      <c r="D96" s="18" t="s">
        <v>103</v>
      </c>
      <c r="E96" s="5" t="s">
        <v>104</v>
      </c>
      <c r="F96" s="7" t="s">
        <v>105</v>
      </c>
      <c r="G96" s="15" t="n">
        <v>7030</v>
      </c>
      <c r="H96" s="8" t="n">
        <v>70030</v>
      </c>
      <c r="I96" s="19" t="str">
        <f aca="false">CONCATENATE(B96, CHAR(10), D96, CHAR(10), "Tax ID: ", F96)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</row>
    <row r="97" customFormat="false" ht="49.25" hidden="false" customHeight="false" outlineLevel="0" collapsed="false">
      <c r="A97" s="10" t="s">
        <v>114</v>
      </c>
      <c r="B97" s="14" t="s">
        <v>101</v>
      </c>
      <c r="C97" s="14" t="s">
        <v>102</v>
      </c>
      <c r="D97" s="21" t="s">
        <v>103</v>
      </c>
      <c r="E97" s="10" t="s">
        <v>104</v>
      </c>
      <c r="F97" s="12" t="s">
        <v>105</v>
      </c>
      <c r="G97" s="12"/>
      <c r="H97" s="13"/>
      <c r="I97" s="19" t="str">
        <f aca="false">CONCATENATE(B97, CHAR(10), D97, CHAR(10), "Tax ID: ", F97)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</row>
    <row r="98" customFormat="false" ht="49.25" hidden="false" customHeight="false" outlineLevel="0" collapsed="false">
      <c r="A98" s="5" t="s">
        <v>115</v>
      </c>
      <c r="B98" s="9" t="s">
        <v>101</v>
      </c>
      <c r="C98" s="9" t="s">
        <v>102</v>
      </c>
      <c r="D98" s="18" t="s">
        <v>103</v>
      </c>
      <c r="E98" s="5" t="s">
        <v>104</v>
      </c>
      <c r="F98" s="7" t="s">
        <v>105</v>
      </c>
      <c r="G98" s="7"/>
      <c r="H98" s="8"/>
      <c r="I98" s="19" t="str">
        <f aca="false">CONCATENATE(B98, CHAR(10), D98, CHAR(10), "Tax ID: ", F98)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</row>
    <row r="99" customFormat="false" ht="49.25" hidden="false" customHeight="false" outlineLevel="0" collapsed="false">
      <c r="A99" s="10" t="s">
        <v>116</v>
      </c>
      <c r="B99" s="14" t="s">
        <v>101</v>
      </c>
      <c r="C99" s="14" t="s">
        <v>102</v>
      </c>
      <c r="D99" s="21" t="s">
        <v>103</v>
      </c>
      <c r="E99" s="10" t="s">
        <v>104</v>
      </c>
      <c r="F99" s="12" t="s">
        <v>105</v>
      </c>
      <c r="G99" s="12"/>
      <c r="H99" s="13"/>
      <c r="I99" s="19" t="str">
        <f aca="false">CONCATENATE(B99, CHAR(10), D99, CHAR(10), "Tax ID: ", F99)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</row>
    <row r="100" customFormat="false" ht="49.25" hidden="false" customHeight="false" outlineLevel="0" collapsed="false">
      <c r="A100" s="5" t="s">
        <v>117</v>
      </c>
      <c r="B100" s="9" t="s">
        <v>101</v>
      </c>
      <c r="C100" s="9" t="s">
        <v>102</v>
      </c>
      <c r="D100" s="18" t="s">
        <v>103</v>
      </c>
      <c r="E100" s="5" t="s">
        <v>104</v>
      </c>
      <c r="F100" s="7" t="s">
        <v>105</v>
      </c>
      <c r="G100" s="15" t="n">
        <v>7047</v>
      </c>
      <c r="H100" s="8" t="n">
        <v>70047</v>
      </c>
      <c r="I100" s="19" t="str">
        <f aca="false">CONCATENATE(B100, CHAR(10), D100, CHAR(10), "Tax ID: ", F100)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</row>
    <row r="101" customFormat="false" ht="49.25" hidden="false" customHeight="false" outlineLevel="0" collapsed="false">
      <c r="A101" s="10" t="s">
        <v>118</v>
      </c>
      <c r="B101" s="14" t="s">
        <v>101</v>
      </c>
      <c r="C101" s="14" t="s">
        <v>102</v>
      </c>
      <c r="D101" s="21" t="s">
        <v>103</v>
      </c>
      <c r="E101" s="10" t="s">
        <v>104</v>
      </c>
      <c r="F101" s="12" t="s">
        <v>105</v>
      </c>
      <c r="G101" s="12"/>
      <c r="H101" s="13"/>
      <c r="I101" s="19" t="str">
        <f aca="false">CONCATENATE(B101, CHAR(10), D101, CHAR(10), "Tax ID: ", F101)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</row>
    <row r="102" customFormat="false" ht="49.25" hidden="false" customHeight="false" outlineLevel="0" collapsed="false">
      <c r="A102" s="5" t="s">
        <v>119</v>
      </c>
      <c r="B102" s="9" t="s">
        <v>101</v>
      </c>
      <c r="C102" s="9" t="s">
        <v>102</v>
      </c>
      <c r="D102" s="18" t="s">
        <v>103</v>
      </c>
      <c r="E102" s="5" t="s">
        <v>104</v>
      </c>
      <c r="F102" s="7" t="s">
        <v>105</v>
      </c>
      <c r="G102" s="7"/>
      <c r="H102" s="8"/>
      <c r="I102" s="19" t="str">
        <f aca="false">CONCATENATE(B102, CHAR(10), D102, CHAR(10), "Tax ID: ", F102)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</row>
    <row r="103" customFormat="false" ht="49.25" hidden="false" customHeight="false" outlineLevel="0" collapsed="false">
      <c r="A103" s="10" t="s">
        <v>120</v>
      </c>
      <c r="B103" s="14" t="s">
        <v>101</v>
      </c>
      <c r="C103" s="14" t="s">
        <v>102</v>
      </c>
      <c r="D103" s="21" t="s">
        <v>103</v>
      </c>
      <c r="E103" s="10" t="s">
        <v>104</v>
      </c>
      <c r="F103" s="12" t="s">
        <v>105</v>
      </c>
      <c r="G103" s="12"/>
      <c r="H103" s="13"/>
      <c r="I103" s="19" t="str">
        <f aca="false">CONCATENATE(B103, CHAR(10), D103, CHAR(10), "Tax ID: ", F103)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</row>
    <row r="104" customFormat="false" ht="49.25" hidden="false" customHeight="false" outlineLevel="0" collapsed="false">
      <c r="A104" s="5" t="s">
        <v>121</v>
      </c>
      <c r="B104" s="9" t="s">
        <v>101</v>
      </c>
      <c r="C104" s="9" t="s">
        <v>102</v>
      </c>
      <c r="D104" s="18" t="s">
        <v>103</v>
      </c>
      <c r="E104" s="5" t="s">
        <v>104</v>
      </c>
      <c r="F104" s="7" t="s">
        <v>105</v>
      </c>
      <c r="G104" s="7"/>
      <c r="H104" s="8"/>
      <c r="I104" s="19" t="str">
        <f aca="false">CONCATENATE(B104, CHAR(10), D104, CHAR(10), "Tax ID: ", F104)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</row>
    <row r="105" customFormat="false" ht="49.25" hidden="false" customHeight="false" outlineLevel="0" collapsed="false">
      <c r="A105" s="10" t="s">
        <v>122</v>
      </c>
      <c r="B105" s="14" t="s">
        <v>101</v>
      </c>
      <c r="C105" s="14" t="s">
        <v>102</v>
      </c>
      <c r="D105" s="21" t="s">
        <v>103</v>
      </c>
      <c r="E105" s="10" t="s">
        <v>104</v>
      </c>
      <c r="F105" s="12" t="s">
        <v>105</v>
      </c>
      <c r="G105" s="12"/>
      <c r="H105" s="13"/>
      <c r="I105" s="19" t="str">
        <f aca="false">CONCATENATE(B105, CHAR(10), D105, CHAR(10), "Tax ID: ", F105)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</row>
    <row r="106" customFormat="false" ht="49.25" hidden="false" customHeight="false" outlineLevel="0" collapsed="false">
      <c r="A106" s="5" t="s">
        <v>123</v>
      </c>
      <c r="B106" s="9" t="s">
        <v>101</v>
      </c>
      <c r="C106" s="9" t="s">
        <v>102</v>
      </c>
      <c r="D106" s="18" t="s">
        <v>103</v>
      </c>
      <c r="E106" s="5" t="s">
        <v>104</v>
      </c>
      <c r="F106" s="7" t="s">
        <v>105</v>
      </c>
      <c r="G106" s="7"/>
      <c r="H106" s="8"/>
      <c r="I106" s="19" t="str">
        <f aca="false">CONCATENATE(B106, CHAR(10), D106, CHAR(10), "Tax ID: ", F106)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</row>
    <row r="107" customFormat="false" ht="49.25" hidden="false" customHeight="false" outlineLevel="0" collapsed="false">
      <c r="A107" s="10" t="s">
        <v>124</v>
      </c>
      <c r="B107" s="14" t="s">
        <v>101</v>
      </c>
      <c r="C107" s="14" t="s">
        <v>102</v>
      </c>
      <c r="D107" s="21" t="s">
        <v>103</v>
      </c>
      <c r="E107" s="10" t="s">
        <v>104</v>
      </c>
      <c r="F107" s="12" t="s">
        <v>105</v>
      </c>
      <c r="G107" s="12"/>
      <c r="H107" s="13"/>
      <c r="I107" s="19" t="str">
        <f aca="false">CONCATENATE(B107, CHAR(10), D107, CHAR(10), "Tax ID: ", F107)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</row>
    <row r="108" customFormat="false" ht="49.25" hidden="false" customHeight="false" outlineLevel="0" collapsed="false">
      <c r="A108" s="5" t="s">
        <v>125</v>
      </c>
      <c r="B108" s="9" t="s">
        <v>101</v>
      </c>
      <c r="C108" s="9" t="s">
        <v>102</v>
      </c>
      <c r="D108" s="18" t="s">
        <v>103</v>
      </c>
      <c r="E108" s="5" t="s">
        <v>104</v>
      </c>
      <c r="F108" s="7" t="s">
        <v>105</v>
      </c>
      <c r="G108" s="7"/>
      <c r="H108" s="8"/>
      <c r="I108" s="19" t="str">
        <f aca="false">CONCATENATE(B108, CHAR(10), D108, CHAR(10), "Tax ID: ", F108)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</row>
    <row r="109" customFormat="false" ht="49.25" hidden="false" customHeight="false" outlineLevel="0" collapsed="false">
      <c r="A109" s="10" t="s">
        <v>126</v>
      </c>
      <c r="B109" s="14" t="s">
        <v>101</v>
      </c>
      <c r="C109" s="14" t="s">
        <v>102</v>
      </c>
      <c r="D109" s="21" t="s">
        <v>103</v>
      </c>
      <c r="E109" s="10" t="s">
        <v>104</v>
      </c>
      <c r="F109" s="12" t="s">
        <v>105</v>
      </c>
      <c r="G109" s="12"/>
      <c r="H109" s="13"/>
      <c r="I109" s="19" t="str">
        <f aca="false">CONCATENATE(B109, CHAR(10), D109, CHAR(10), "Tax ID: ", F109)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</row>
    <row r="110" customFormat="false" ht="49.25" hidden="false" customHeight="false" outlineLevel="0" collapsed="false">
      <c r="A110" s="5" t="s">
        <v>127</v>
      </c>
      <c r="B110" s="9" t="s">
        <v>101</v>
      </c>
      <c r="C110" s="9" t="s">
        <v>102</v>
      </c>
      <c r="D110" s="18" t="s">
        <v>103</v>
      </c>
      <c r="E110" s="5" t="s">
        <v>104</v>
      </c>
      <c r="F110" s="7" t="s">
        <v>105</v>
      </c>
      <c r="G110" s="15" t="n">
        <v>7034</v>
      </c>
      <c r="H110" s="8" t="n">
        <v>70034</v>
      </c>
      <c r="I110" s="19" t="str">
        <f aca="false">CONCATENATE(B110, CHAR(10), D110, CHAR(10), "Tax ID: ", F110)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</row>
    <row r="111" customFormat="false" ht="49.25" hidden="false" customHeight="false" outlineLevel="0" collapsed="false">
      <c r="A111" s="10" t="s">
        <v>128</v>
      </c>
      <c r="B111" s="14" t="s">
        <v>101</v>
      </c>
      <c r="C111" s="14" t="s">
        <v>102</v>
      </c>
      <c r="D111" s="21" t="s">
        <v>103</v>
      </c>
      <c r="E111" s="10" t="s">
        <v>104</v>
      </c>
      <c r="F111" s="12" t="s">
        <v>105</v>
      </c>
      <c r="G111" s="12"/>
      <c r="H111" s="13"/>
      <c r="I111" s="19" t="str">
        <f aca="false">CONCATENATE(B111, CHAR(10), D111, CHAR(10), "Tax ID: ", F111)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</row>
    <row r="112" customFormat="false" ht="49.25" hidden="false" customHeight="false" outlineLevel="0" collapsed="false">
      <c r="A112" s="5" t="s">
        <v>129</v>
      </c>
      <c r="B112" s="9" t="s">
        <v>101</v>
      </c>
      <c r="C112" s="9" t="s">
        <v>102</v>
      </c>
      <c r="D112" s="18" t="s">
        <v>103</v>
      </c>
      <c r="E112" s="5" t="s">
        <v>104</v>
      </c>
      <c r="F112" s="7" t="s">
        <v>105</v>
      </c>
      <c r="G112" s="7"/>
      <c r="H112" s="8"/>
      <c r="I112" s="19" t="str">
        <f aca="false">CONCATENATE(B112, CHAR(10), D112, CHAR(10), "Tax ID: ", F112)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</row>
    <row r="113" customFormat="false" ht="49.25" hidden="false" customHeight="false" outlineLevel="0" collapsed="false">
      <c r="A113" s="10" t="s">
        <v>130</v>
      </c>
      <c r="B113" s="14" t="s">
        <v>101</v>
      </c>
      <c r="C113" s="14" t="s">
        <v>102</v>
      </c>
      <c r="D113" s="21" t="s">
        <v>103</v>
      </c>
      <c r="E113" s="10" t="s">
        <v>104</v>
      </c>
      <c r="F113" s="12" t="s">
        <v>105</v>
      </c>
      <c r="G113" s="17" t="n">
        <v>7026</v>
      </c>
      <c r="H113" s="13" t="n">
        <v>70026</v>
      </c>
      <c r="I113" s="19" t="str">
        <f aca="false">CONCATENATE(B113, CHAR(10), D113, CHAR(10), "Tax ID: ", F113)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</row>
    <row r="114" customFormat="false" ht="49.25" hidden="false" customHeight="false" outlineLevel="0" collapsed="false">
      <c r="A114" s="5" t="s">
        <v>131</v>
      </c>
      <c r="B114" s="5" t="s">
        <v>132</v>
      </c>
      <c r="C114" s="5" t="s">
        <v>133</v>
      </c>
      <c r="D114" s="6" t="s">
        <v>12</v>
      </c>
      <c r="E114" s="5" t="s">
        <v>13</v>
      </c>
      <c r="F114" s="7" t="s">
        <v>134</v>
      </c>
      <c r="G114" s="7"/>
      <c r="H114" s="8"/>
      <c r="I114" s="9" t="str">
        <f aca="false">CONCATENATE(B114, CHAR(10), D114, CHAR(10), "Tax ID: ", F114)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115" customFormat="false" ht="49.25" hidden="false" customHeight="false" outlineLevel="0" collapsed="false">
      <c r="A115" s="10" t="s">
        <v>135</v>
      </c>
      <c r="B115" s="10" t="s">
        <v>132</v>
      </c>
      <c r="C115" s="10" t="s">
        <v>133</v>
      </c>
      <c r="D115" s="11" t="s">
        <v>12</v>
      </c>
      <c r="E115" s="10" t="s">
        <v>13</v>
      </c>
      <c r="F115" s="12" t="s">
        <v>134</v>
      </c>
      <c r="G115" s="12"/>
      <c r="H115" s="13"/>
      <c r="I115" s="14" t="str">
        <f aca="false">CONCATENATE(B115, CHAR(10), D115, CHAR(10), "Tax ID: ", F115)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116" customFormat="false" ht="49.25" hidden="false" customHeight="false" outlineLevel="0" collapsed="false">
      <c r="A116" s="5" t="s">
        <v>136</v>
      </c>
      <c r="B116" s="5" t="s">
        <v>132</v>
      </c>
      <c r="C116" s="5" t="s">
        <v>133</v>
      </c>
      <c r="D116" s="6" t="s">
        <v>12</v>
      </c>
      <c r="E116" s="5" t="s">
        <v>13</v>
      </c>
      <c r="F116" s="7" t="s">
        <v>134</v>
      </c>
      <c r="G116" s="15" t="n">
        <v>4017</v>
      </c>
      <c r="H116" s="8" t="n">
        <v>40018</v>
      </c>
      <c r="I116" s="9" t="str">
        <f aca="false">CONCATENATE(B116, CHAR(10), D116, CHAR(10), "Tax ID: ", F116)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117" customFormat="false" ht="49.25" hidden="false" customHeight="false" outlineLevel="0" collapsed="false">
      <c r="A117" s="10" t="s">
        <v>137</v>
      </c>
      <c r="B117" s="10" t="s">
        <v>132</v>
      </c>
      <c r="C117" s="10" t="s">
        <v>133</v>
      </c>
      <c r="D117" s="11" t="s">
        <v>12</v>
      </c>
      <c r="E117" s="10" t="s">
        <v>13</v>
      </c>
      <c r="F117" s="12" t="s">
        <v>134</v>
      </c>
      <c r="G117" s="12"/>
      <c r="H117" s="13"/>
      <c r="I117" s="14" t="str">
        <f aca="false">CONCATENATE(B117, CHAR(10), D117, CHAR(10), "Tax ID: ", F117)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118" customFormat="false" ht="49.25" hidden="false" customHeight="false" outlineLevel="0" collapsed="false">
      <c r="A118" s="5" t="s">
        <v>138</v>
      </c>
      <c r="B118" s="5" t="s">
        <v>132</v>
      </c>
      <c r="C118" s="5" t="s">
        <v>133</v>
      </c>
      <c r="D118" s="6" t="s">
        <v>12</v>
      </c>
      <c r="E118" s="5" t="s">
        <v>13</v>
      </c>
      <c r="F118" s="7" t="s">
        <v>134</v>
      </c>
      <c r="G118" s="7"/>
      <c r="H118" s="8"/>
      <c r="I118" s="9" t="str">
        <f aca="false">CONCATENATE(B118, CHAR(10), D118, CHAR(10), "Tax ID: ", F118)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119" customFormat="false" ht="49.25" hidden="false" customHeight="false" outlineLevel="0" collapsed="false">
      <c r="A119" s="10" t="s">
        <v>139</v>
      </c>
      <c r="B119" s="10" t="s">
        <v>132</v>
      </c>
      <c r="C119" s="10" t="s">
        <v>133</v>
      </c>
      <c r="D119" s="11" t="s">
        <v>12</v>
      </c>
      <c r="E119" s="10" t="s">
        <v>13</v>
      </c>
      <c r="F119" s="12" t="s">
        <v>134</v>
      </c>
      <c r="G119" s="12"/>
      <c r="H119" s="13"/>
      <c r="I119" s="14" t="str">
        <f aca="false">CONCATENATE(B119, CHAR(10), D119, CHAR(10), "Tax ID: ", F119)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120" customFormat="false" ht="49.25" hidden="false" customHeight="false" outlineLevel="0" collapsed="false">
      <c r="A120" s="5" t="s">
        <v>140</v>
      </c>
      <c r="B120" s="5" t="s">
        <v>132</v>
      </c>
      <c r="C120" s="5" t="s">
        <v>133</v>
      </c>
      <c r="D120" s="6" t="s">
        <v>12</v>
      </c>
      <c r="E120" s="5" t="s">
        <v>13</v>
      </c>
      <c r="F120" s="7" t="s">
        <v>134</v>
      </c>
      <c r="G120" s="7"/>
      <c r="H120" s="8"/>
      <c r="I120" s="9" t="str">
        <f aca="false">CONCATENATE(B120, CHAR(10), D120, CHAR(10), "Tax ID: ", F120)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121" customFormat="false" ht="49.25" hidden="false" customHeight="false" outlineLevel="0" collapsed="false">
      <c r="A121" s="10" t="s">
        <v>141</v>
      </c>
      <c r="B121" s="10" t="s">
        <v>132</v>
      </c>
      <c r="C121" s="10" t="s">
        <v>133</v>
      </c>
      <c r="D121" s="11" t="s">
        <v>12</v>
      </c>
      <c r="E121" s="10" t="s">
        <v>13</v>
      </c>
      <c r="F121" s="12" t="s">
        <v>134</v>
      </c>
      <c r="G121" s="12"/>
      <c r="H121" s="13"/>
      <c r="I121" s="14" t="str">
        <f aca="false">CONCATENATE(B121, CHAR(10), D121, CHAR(10), "Tax ID: ", F121)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122" customFormat="false" ht="49.25" hidden="false" customHeight="false" outlineLevel="0" collapsed="false">
      <c r="A122" s="5" t="s">
        <v>142</v>
      </c>
      <c r="B122" s="5" t="s">
        <v>132</v>
      </c>
      <c r="C122" s="5" t="s">
        <v>133</v>
      </c>
      <c r="D122" s="6" t="s">
        <v>12</v>
      </c>
      <c r="E122" s="5" t="s">
        <v>13</v>
      </c>
      <c r="F122" s="7" t="s">
        <v>134</v>
      </c>
      <c r="G122" s="15" t="n">
        <v>4028</v>
      </c>
      <c r="H122" s="8" t="n">
        <v>40028</v>
      </c>
      <c r="I122" s="9" t="str">
        <f aca="false">CONCATENATE(B122, CHAR(10), D122, CHAR(10), "Tax ID: ", F122)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123" customFormat="false" ht="49.25" hidden="false" customHeight="false" outlineLevel="0" collapsed="false">
      <c r="A123" s="10" t="s">
        <v>143</v>
      </c>
      <c r="B123" s="10" t="s">
        <v>132</v>
      </c>
      <c r="C123" s="10" t="s">
        <v>133</v>
      </c>
      <c r="D123" s="11" t="s">
        <v>12</v>
      </c>
      <c r="E123" s="10" t="s">
        <v>13</v>
      </c>
      <c r="F123" s="12" t="s">
        <v>134</v>
      </c>
      <c r="G123" s="17" t="n">
        <v>4043</v>
      </c>
      <c r="H123" s="13" t="n">
        <v>40043</v>
      </c>
      <c r="I123" s="14" t="str">
        <f aca="false">CONCATENATE(B123, CHAR(10), D123, CHAR(10), "Tax ID: ", F123)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124" customFormat="false" ht="49.25" hidden="false" customHeight="false" outlineLevel="0" collapsed="false">
      <c r="A124" s="5" t="s">
        <v>144</v>
      </c>
      <c r="B124" s="5" t="s">
        <v>132</v>
      </c>
      <c r="C124" s="5" t="s">
        <v>133</v>
      </c>
      <c r="D124" s="6" t="s">
        <v>12</v>
      </c>
      <c r="E124" s="5" t="s">
        <v>13</v>
      </c>
      <c r="F124" s="7" t="s">
        <v>134</v>
      </c>
      <c r="G124" s="15" t="n">
        <v>4022</v>
      </c>
      <c r="H124" s="8" t="n">
        <v>40022</v>
      </c>
      <c r="I124" s="9" t="str">
        <f aca="false">CONCATENATE(B124, CHAR(10), D124, CHAR(10), "Tax ID: ", F124)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125" customFormat="false" ht="49.25" hidden="false" customHeight="false" outlineLevel="0" collapsed="false">
      <c r="A125" s="10" t="s">
        <v>145</v>
      </c>
      <c r="B125" s="10" t="s">
        <v>132</v>
      </c>
      <c r="C125" s="10" t="s">
        <v>133</v>
      </c>
      <c r="D125" s="11" t="s">
        <v>12</v>
      </c>
      <c r="E125" s="10" t="s">
        <v>13</v>
      </c>
      <c r="F125" s="12" t="s">
        <v>134</v>
      </c>
      <c r="G125" s="12"/>
      <c r="H125" s="13"/>
      <c r="I125" s="14" t="str">
        <f aca="false">CONCATENATE(B125, CHAR(10), D125, CHAR(10), "Tax ID: ", F125)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126" customFormat="false" ht="49.25" hidden="false" customHeight="false" outlineLevel="0" collapsed="false">
      <c r="A126" s="5" t="s">
        <v>146</v>
      </c>
      <c r="B126" s="5" t="s">
        <v>132</v>
      </c>
      <c r="C126" s="5" t="s">
        <v>133</v>
      </c>
      <c r="D126" s="6" t="s">
        <v>12</v>
      </c>
      <c r="E126" s="5" t="s">
        <v>13</v>
      </c>
      <c r="F126" s="7" t="s">
        <v>134</v>
      </c>
      <c r="G126" s="7"/>
      <c r="H126" s="8"/>
      <c r="I126" s="9" t="str">
        <f aca="false">CONCATENATE(B126, CHAR(10), D126, CHAR(10), "Tax ID: ", F126)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127" customFormat="false" ht="49.25" hidden="false" customHeight="false" outlineLevel="0" collapsed="false">
      <c r="A127" s="10" t="s">
        <v>147</v>
      </c>
      <c r="B127" s="10" t="s">
        <v>132</v>
      </c>
      <c r="C127" s="10" t="s">
        <v>133</v>
      </c>
      <c r="D127" s="11" t="s">
        <v>12</v>
      </c>
      <c r="E127" s="10" t="s">
        <v>13</v>
      </c>
      <c r="F127" s="12" t="s">
        <v>134</v>
      </c>
      <c r="G127" s="12"/>
      <c r="H127" s="13"/>
      <c r="I127" s="14" t="str">
        <f aca="false">CONCATENATE(B127, CHAR(10), D127, CHAR(10), "Tax ID: ", F127)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128" customFormat="false" ht="49.25" hidden="false" customHeight="false" outlineLevel="0" collapsed="false">
      <c r="A128" s="5" t="s">
        <v>148</v>
      </c>
      <c r="B128" s="5" t="s">
        <v>132</v>
      </c>
      <c r="C128" s="5" t="s">
        <v>133</v>
      </c>
      <c r="D128" s="6" t="s">
        <v>12</v>
      </c>
      <c r="E128" s="5" t="s">
        <v>13</v>
      </c>
      <c r="F128" s="7" t="s">
        <v>134</v>
      </c>
      <c r="G128" s="7"/>
      <c r="H128" s="8"/>
      <c r="I128" s="9" t="str">
        <f aca="false">CONCATENATE(B128, CHAR(10), D128, CHAR(10), "Tax ID: ", F128)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129" customFormat="false" ht="49.25" hidden="false" customHeight="false" outlineLevel="0" collapsed="false">
      <c r="A129" s="10" t="s">
        <v>149</v>
      </c>
      <c r="B129" s="10" t="s">
        <v>132</v>
      </c>
      <c r="C129" s="10" t="s">
        <v>133</v>
      </c>
      <c r="D129" s="11" t="s">
        <v>12</v>
      </c>
      <c r="E129" s="10" t="s">
        <v>13</v>
      </c>
      <c r="F129" s="12" t="s">
        <v>134</v>
      </c>
      <c r="G129" s="12"/>
      <c r="H129" s="13"/>
      <c r="I129" s="14" t="str">
        <f aca="false">CONCATENATE(B129, CHAR(10), D129, CHAR(10), "Tax ID: ", F129)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130" customFormat="false" ht="49.25" hidden="false" customHeight="false" outlineLevel="0" collapsed="false">
      <c r="A130" s="5" t="s">
        <v>150</v>
      </c>
      <c r="B130" s="5" t="s">
        <v>132</v>
      </c>
      <c r="C130" s="5" t="s">
        <v>133</v>
      </c>
      <c r="D130" s="6" t="s">
        <v>12</v>
      </c>
      <c r="E130" s="5" t="s">
        <v>13</v>
      </c>
      <c r="F130" s="7" t="s">
        <v>134</v>
      </c>
      <c r="G130" s="7"/>
      <c r="H130" s="8"/>
      <c r="I130" s="9" t="str">
        <f aca="false">CONCATENATE(B130, CHAR(10), D130, CHAR(10), "Tax ID: ", F130)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131" customFormat="false" ht="49.25" hidden="false" customHeight="false" outlineLevel="0" collapsed="false">
      <c r="A131" s="10" t="s">
        <v>151</v>
      </c>
      <c r="B131" s="10" t="s">
        <v>132</v>
      </c>
      <c r="C131" s="10" t="s">
        <v>133</v>
      </c>
      <c r="D131" s="11" t="s">
        <v>12</v>
      </c>
      <c r="E131" s="10" t="s">
        <v>13</v>
      </c>
      <c r="F131" s="12" t="s">
        <v>134</v>
      </c>
      <c r="G131" s="12"/>
      <c r="H131" s="13"/>
      <c r="I131" s="14" t="str">
        <f aca="false">CONCATENATE(B131, CHAR(10), D131, CHAR(10), "Tax ID: ", F131)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132" customFormat="false" ht="49.25" hidden="false" customHeight="false" outlineLevel="0" collapsed="false">
      <c r="A132" s="5" t="s">
        <v>152</v>
      </c>
      <c r="B132" s="5" t="s">
        <v>132</v>
      </c>
      <c r="C132" s="5" t="s">
        <v>133</v>
      </c>
      <c r="D132" s="6" t="s">
        <v>12</v>
      </c>
      <c r="E132" s="5" t="s">
        <v>13</v>
      </c>
      <c r="F132" s="7" t="s">
        <v>134</v>
      </c>
      <c r="G132" s="15" t="n">
        <v>4034</v>
      </c>
      <c r="H132" s="8" t="n">
        <v>40034</v>
      </c>
      <c r="I132" s="9" t="str">
        <f aca="false">CONCATENATE(B132, CHAR(10), D132, CHAR(10), "Tax ID: ", F132)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133" customFormat="false" ht="49.25" hidden="false" customHeight="false" outlineLevel="0" collapsed="false">
      <c r="A133" s="10" t="s">
        <v>153</v>
      </c>
      <c r="B133" s="10" t="s">
        <v>132</v>
      </c>
      <c r="C133" s="10" t="s">
        <v>133</v>
      </c>
      <c r="D133" s="11" t="s">
        <v>12</v>
      </c>
      <c r="E133" s="10" t="s">
        <v>13</v>
      </c>
      <c r="F133" s="12" t="s">
        <v>134</v>
      </c>
      <c r="G133" s="17" t="n">
        <v>4037</v>
      </c>
      <c r="H133" s="13" t="n">
        <v>40037</v>
      </c>
      <c r="I133" s="14" t="str">
        <f aca="false">CONCATENATE(B133, CHAR(10), D133, CHAR(10), "Tax ID: ", F133)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134" customFormat="false" ht="49.25" hidden="false" customHeight="false" outlineLevel="0" collapsed="false">
      <c r="A134" s="5" t="s">
        <v>154</v>
      </c>
      <c r="B134" s="5" t="s">
        <v>132</v>
      </c>
      <c r="C134" s="5" t="s">
        <v>133</v>
      </c>
      <c r="D134" s="6" t="s">
        <v>12</v>
      </c>
      <c r="E134" s="5" t="s">
        <v>13</v>
      </c>
      <c r="F134" s="7" t="s">
        <v>134</v>
      </c>
      <c r="G134" s="7"/>
      <c r="H134" s="8"/>
      <c r="I134" s="9" t="str">
        <f aca="false">CONCATENATE(B134, CHAR(10), D134, CHAR(10), "Tax ID: ", F134)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135" customFormat="false" ht="49.25" hidden="false" customHeight="false" outlineLevel="0" collapsed="false">
      <c r="A135" s="10" t="s">
        <v>155</v>
      </c>
      <c r="B135" s="10" t="s">
        <v>132</v>
      </c>
      <c r="C135" s="10" t="s">
        <v>133</v>
      </c>
      <c r="D135" s="11" t="s">
        <v>12</v>
      </c>
      <c r="E135" s="10" t="s">
        <v>13</v>
      </c>
      <c r="F135" s="12" t="s">
        <v>134</v>
      </c>
      <c r="G135" s="12"/>
      <c r="H135" s="13"/>
      <c r="I135" s="14" t="str">
        <f aca="false">CONCATENATE(B135, CHAR(10), D135, CHAR(10), "Tax ID: ", F135)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136" customFormat="false" ht="49.25" hidden="false" customHeight="false" outlineLevel="0" collapsed="false">
      <c r="A136" s="5" t="s">
        <v>156</v>
      </c>
      <c r="B136" s="5" t="s">
        <v>132</v>
      </c>
      <c r="C136" s="5" t="s">
        <v>133</v>
      </c>
      <c r="D136" s="6" t="s">
        <v>12</v>
      </c>
      <c r="E136" s="5" t="s">
        <v>13</v>
      </c>
      <c r="F136" s="7" t="s">
        <v>134</v>
      </c>
      <c r="G136" s="15" t="n">
        <v>4033</v>
      </c>
      <c r="H136" s="8" t="n">
        <v>40033</v>
      </c>
      <c r="I136" s="9" t="str">
        <f aca="false">CONCATENATE(B136, CHAR(10), D136, CHAR(10), "Tax ID: ", F136)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137" customFormat="false" ht="49.25" hidden="false" customHeight="false" outlineLevel="0" collapsed="false">
      <c r="A137" s="10" t="s">
        <v>157</v>
      </c>
      <c r="B137" s="10" t="s">
        <v>132</v>
      </c>
      <c r="C137" s="10" t="s">
        <v>133</v>
      </c>
      <c r="D137" s="11" t="s">
        <v>12</v>
      </c>
      <c r="E137" s="10" t="s">
        <v>13</v>
      </c>
      <c r="F137" s="12" t="s">
        <v>134</v>
      </c>
      <c r="G137" s="12"/>
      <c r="H137" s="13"/>
      <c r="I137" s="14" t="str">
        <f aca="false">CONCATENATE(B137, CHAR(10), D137, CHAR(10), "Tax ID: ", F137)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138" customFormat="false" ht="49.25" hidden="false" customHeight="false" outlineLevel="0" collapsed="false">
      <c r="A138" s="5" t="s">
        <v>158</v>
      </c>
      <c r="B138" s="5" t="s">
        <v>132</v>
      </c>
      <c r="C138" s="5" t="s">
        <v>133</v>
      </c>
      <c r="D138" s="6" t="s">
        <v>12</v>
      </c>
      <c r="E138" s="5" t="s">
        <v>13</v>
      </c>
      <c r="F138" s="7" t="s">
        <v>134</v>
      </c>
      <c r="G138" s="7"/>
      <c r="H138" s="8"/>
      <c r="I138" s="9" t="str">
        <f aca="false">CONCATENATE(B138, CHAR(10), D138, CHAR(10), "Tax ID: ", F138)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139" customFormat="false" ht="49.25" hidden="false" customHeight="false" outlineLevel="0" collapsed="false">
      <c r="A139" s="10" t="s">
        <v>159</v>
      </c>
      <c r="B139" s="10" t="s">
        <v>132</v>
      </c>
      <c r="C139" s="10" t="s">
        <v>133</v>
      </c>
      <c r="D139" s="11" t="s">
        <v>12</v>
      </c>
      <c r="E139" s="10" t="s">
        <v>13</v>
      </c>
      <c r="F139" s="12" t="s">
        <v>134</v>
      </c>
      <c r="G139" s="17" t="n">
        <v>4054</v>
      </c>
      <c r="H139" s="13" t="n">
        <v>40054</v>
      </c>
      <c r="I139" s="14" t="str">
        <f aca="false">CONCATENATE(B139, CHAR(10), D139, CHAR(10), "Tax ID: ", F139)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140" customFormat="false" ht="49.25" hidden="false" customHeight="false" outlineLevel="0" collapsed="false">
      <c r="A140" s="5" t="s">
        <v>160</v>
      </c>
      <c r="B140" s="5" t="s">
        <v>132</v>
      </c>
      <c r="C140" s="5" t="s">
        <v>133</v>
      </c>
      <c r="D140" s="6" t="s">
        <v>12</v>
      </c>
      <c r="E140" s="5" t="s">
        <v>13</v>
      </c>
      <c r="F140" s="7" t="s">
        <v>134</v>
      </c>
      <c r="G140" s="7"/>
      <c r="H140" s="8"/>
      <c r="I140" s="9" t="str">
        <f aca="false">CONCATENATE(B140, CHAR(10), D140, CHAR(10), "Tax ID: ", F140)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141" customFormat="false" ht="49.25" hidden="false" customHeight="false" outlineLevel="0" collapsed="false">
      <c r="A141" s="10" t="s">
        <v>161</v>
      </c>
      <c r="B141" s="10" t="s">
        <v>132</v>
      </c>
      <c r="C141" s="10" t="s">
        <v>133</v>
      </c>
      <c r="D141" s="11" t="s">
        <v>12</v>
      </c>
      <c r="E141" s="10" t="s">
        <v>13</v>
      </c>
      <c r="F141" s="12" t="s">
        <v>134</v>
      </c>
      <c r="G141" s="17" t="n">
        <v>4045</v>
      </c>
      <c r="H141" s="13" t="n">
        <v>40045</v>
      </c>
      <c r="I141" s="14" t="str">
        <f aca="false">CONCATENATE(B141, CHAR(10), D141, CHAR(10), "Tax ID: ", F141)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142" customFormat="false" ht="49.25" hidden="false" customHeight="false" outlineLevel="0" collapsed="false">
      <c r="A142" s="5" t="s">
        <v>162</v>
      </c>
      <c r="B142" s="5" t="s">
        <v>163</v>
      </c>
      <c r="C142" s="5" t="s">
        <v>164</v>
      </c>
      <c r="D142" s="6" t="s">
        <v>12</v>
      </c>
      <c r="E142" s="5" t="s">
        <v>13</v>
      </c>
      <c r="F142" s="7" t="s">
        <v>165</v>
      </c>
      <c r="G142" s="7"/>
      <c r="H142" s="8"/>
      <c r="I142" s="9" t="str">
        <f aca="false">CONCATENATE(B142, CHAR(10), D142, CHAR(10), "Tax ID: ", F142)</f>
        <v>บริษัท เอเชี่ยน พร็อพเพอร์ตี้ (2011)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0105554149013</v>
      </c>
    </row>
    <row r="143" customFormat="false" ht="49.25" hidden="false" customHeight="false" outlineLevel="0" collapsed="false">
      <c r="A143" s="10" t="s">
        <v>166</v>
      </c>
      <c r="B143" s="10" t="s">
        <v>167</v>
      </c>
      <c r="C143" s="10" t="s">
        <v>168</v>
      </c>
      <c r="D143" s="11" t="s">
        <v>12</v>
      </c>
      <c r="E143" s="10" t="s">
        <v>13</v>
      </c>
      <c r="F143" s="12" t="s">
        <v>169</v>
      </c>
      <c r="G143" s="12"/>
      <c r="H143" s="13"/>
      <c r="I143" s="14" t="str">
        <f aca="false">CONCATENATE(B143, CHAR(10), D143, CHAR(10), "Tax ID: ", F143)</f>
        <v>บริษัท เอเชี่ยน พร็อพเพอร์ตี้ (2013)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0105556002672</v>
      </c>
    </row>
    <row r="144" customFormat="false" ht="49.25" hidden="false" customHeight="false" outlineLevel="0" collapsed="false">
      <c r="A144" s="5" t="s">
        <v>170</v>
      </c>
      <c r="B144" s="5" t="s">
        <v>171</v>
      </c>
      <c r="C144" s="5" t="s">
        <v>172</v>
      </c>
      <c r="D144" s="6" t="s">
        <v>12</v>
      </c>
      <c r="E144" s="5" t="s">
        <v>13</v>
      </c>
      <c r="F144" s="7" t="s">
        <v>173</v>
      </c>
      <c r="G144" s="7"/>
      <c r="H144" s="8"/>
      <c r="I144" s="9" t="str">
        <f aca="false">CONCATENATE(B144, CHAR(10), D144, CHAR(10), "Tax ID: ", F144)</f>
        <v>บริษัท เอเชี่ยน พร็อพเพอร์ตี้ (2014)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0105557175490</v>
      </c>
    </row>
    <row r="145" customFormat="false" ht="49.25" hidden="false" customHeight="false" outlineLevel="0" collapsed="false">
      <c r="A145" s="10" t="s">
        <v>174</v>
      </c>
      <c r="B145" s="10" t="s">
        <v>175</v>
      </c>
      <c r="C145" s="10" t="s">
        <v>176</v>
      </c>
      <c r="D145" s="11" t="s">
        <v>12</v>
      </c>
      <c r="E145" s="10" t="s">
        <v>13</v>
      </c>
      <c r="F145" s="12" t="s">
        <v>177</v>
      </c>
      <c r="G145" s="12"/>
      <c r="H145" s="13"/>
      <c r="I145" s="14" t="str">
        <f aca="false">CONCATENATE(B145, CHAR(10), D145, CHAR(10), "Tax ID: ", F145)</f>
        <v>บริษัท เอพี เอ็มอี (สุขุมวิท) จำกัด (สำนักงานใหญ่) 
170/57 อาคารโอเชี่ยนทาวเวอร์ 1 ชั้น 18 ถ.รัชดาภิเษกตัดใหม่ 
แขวงคลองเตย เขตคลองเตย กรุงเทพฯ 10110
Tax ID: 0105550124504</v>
      </c>
    </row>
    <row r="146" customFormat="false" ht="49.25" hidden="false" customHeight="false" outlineLevel="0" collapsed="false">
      <c r="A146" s="5" t="s">
        <v>178</v>
      </c>
      <c r="B146" s="5" t="s">
        <v>179</v>
      </c>
      <c r="C146" s="5" t="s">
        <v>180</v>
      </c>
      <c r="D146" s="6" t="s">
        <v>12</v>
      </c>
      <c r="E146" s="5" t="s">
        <v>13</v>
      </c>
      <c r="F146" s="7" t="s">
        <v>181</v>
      </c>
      <c r="G146" s="7"/>
      <c r="H146" s="8"/>
      <c r="I146" s="9" t="str">
        <f aca="false">CONCATENATE(B146, CHAR(10), D146, CHAR(10), "Tax ID: ", F146)</f>
        <v>บริษัท เอพี เอ็มอี (กรุงเทพ) จำกัด (สำนักงานใหญ่) 
170/57 อาคารโอเชี่ยนทาวเวอร์ 1 ชั้น 18 ถ.รัชดาภิเษกตัดใหม่ 
แขวงคลองเตย เขตคลองเตย กรุงเทพฯ 10110
Tax ID: 0105556162238</v>
      </c>
    </row>
    <row r="147" customFormat="false" ht="49.25" hidden="false" customHeight="false" outlineLevel="0" collapsed="false">
      <c r="A147" s="10" t="s">
        <v>182</v>
      </c>
      <c r="B147" s="10" t="s">
        <v>183</v>
      </c>
      <c r="C147" s="10" t="s">
        <v>184</v>
      </c>
      <c r="D147" s="11" t="s">
        <v>12</v>
      </c>
      <c r="E147" s="10" t="s">
        <v>13</v>
      </c>
      <c r="F147" s="12" t="s">
        <v>185</v>
      </c>
      <c r="G147" s="12"/>
      <c r="H147" s="13"/>
      <c r="I147" s="14" t="str">
        <f aca="false">CONCATENATE(B147, CHAR(10), D147, CHAR(10), "Tax ID: ", F147)</f>
        <v>บริษัท เอพี เอ็มอี (อโศก) จำกัด (สำนักงานใหญ่) 
170/57 อาคารโอเชี่ยนทาวเวอร์ 1 ชั้น 18 ถ.รัชดาภิเษกตัดใหม่ 
แขวงคลองเตย เขตคลองเตย กรุงเทพฯ 10110
Tax ID: 0105556162246</v>
      </c>
    </row>
    <row r="148" customFormat="false" ht="49.25" hidden="false" customHeight="false" outlineLevel="0" collapsed="false">
      <c r="A148" s="5" t="s">
        <v>186</v>
      </c>
      <c r="B148" s="5" t="s">
        <v>187</v>
      </c>
      <c r="C148" s="5" t="s">
        <v>188</v>
      </c>
      <c r="D148" s="6" t="s">
        <v>12</v>
      </c>
      <c r="E148" s="5" t="s">
        <v>13</v>
      </c>
      <c r="F148" s="7" t="s">
        <v>189</v>
      </c>
      <c r="G148" s="7"/>
      <c r="H148" s="8"/>
      <c r="I148" s="9" t="str">
        <f aca="false">CONCATENATE(B148, CHAR(10), D148, CHAR(10), "Tax ID: ", F148)</f>
        <v>บริษัท พรีเมี่ยม เรสซิเดนซ์ จำกัด (สำนักงานใหญ่) 
170/57 อาคารโอเชี่ยนทาวเวอร์ 1 ชั้น 18 ถ.รัชดาภิเษกตัดใหม่ 
แขวงคลองเตย เขตคลองเตย กรุงเทพฯ 10110
Tax ID: 0105556162301</v>
      </c>
    </row>
    <row r="149" customFormat="false" ht="49.25" hidden="false" customHeight="false" outlineLevel="0" collapsed="false">
      <c r="A149" s="10" t="s">
        <v>190</v>
      </c>
      <c r="B149" s="10" t="s">
        <v>191</v>
      </c>
      <c r="C149" s="10" t="s">
        <v>192</v>
      </c>
      <c r="D149" s="11" t="s">
        <v>12</v>
      </c>
      <c r="E149" s="10" t="s">
        <v>13</v>
      </c>
      <c r="F149" s="12" t="s">
        <v>193</v>
      </c>
      <c r="G149" s="12"/>
      <c r="H149" s="13"/>
      <c r="I149" s="14" t="str">
        <f aca="false">CONCATENATE(B149, CHAR(10), D149, CHAR(10), "Tax ID: ", F149)</f>
        <v>บริษัท เอพี (เพชรบุรี) จำกัด (สำนักงานใหญ่) 
170/57 อาคารโอเชี่ยนทาวเวอร์ 1 ชั้น 18 ถ.รัชดาภิเษกตัดใหม่ 
แขวงคลองเตย เขตคลองเตย กรุงเทพฯ 10110
Tax ID: 0105557109039</v>
      </c>
    </row>
    <row r="150" customFormat="false" ht="49.25" hidden="false" customHeight="false" outlineLevel="0" collapsed="false">
      <c r="A150" s="5" t="s">
        <v>194</v>
      </c>
      <c r="B150" s="5" t="s">
        <v>195</v>
      </c>
      <c r="C150" s="5" t="s">
        <v>196</v>
      </c>
      <c r="D150" s="6" t="s">
        <v>12</v>
      </c>
      <c r="E150" s="5" t="s">
        <v>13</v>
      </c>
      <c r="F150" s="7" t="s">
        <v>197</v>
      </c>
      <c r="G150" s="7"/>
      <c r="H150" s="8"/>
      <c r="I150" s="9" t="str">
        <f aca="false">CONCATENATE(B150, CHAR(10), D150, CHAR(10), "Tax ID: ", F150)</f>
        <v>บริษัท เอเชี่ยน พร็อพเพอร์ตี้ (2015)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0105558021291</v>
      </c>
    </row>
    <row r="151" customFormat="false" ht="49.25" hidden="false" customHeight="false" outlineLevel="0" collapsed="false">
      <c r="A151" s="10" t="s">
        <v>198</v>
      </c>
      <c r="B151" s="10" t="s">
        <v>199</v>
      </c>
      <c r="C151" s="10" t="s">
        <v>200</v>
      </c>
      <c r="D151" s="11" t="s">
        <v>12</v>
      </c>
      <c r="E151" s="10" t="s">
        <v>13</v>
      </c>
      <c r="F151" s="12" t="s">
        <v>201</v>
      </c>
      <c r="G151" s="12"/>
      <c r="H151" s="13"/>
      <c r="I151" s="14" t="str">
        <f aca="false">CONCATENATE(B151, CHAR(10), D151, CHAR(10), "Tax ID: ", F151)</f>
        <v>บริษัท เอพี เอ็มอี 1 จำกัด (สำนักงานใหญ่) 
170/57 อาคารโอเชี่ยนทาวเวอร์ 1 ชั้น 18 ถ.รัชดาภิเษกตัดใหม่ 
แขวงคลองเตย เขตคลองเตย กรุงเทพฯ 10110
Tax ID: 0105558049218</v>
      </c>
    </row>
    <row r="152" customFormat="false" ht="49.25" hidden="false" customHeight="false" outlineLevel="0" collapsed="false">
      <c r="A152" s="5" t="s">
        <v>202</v>
      </c>
      <c r="B152" s="5" t="s">
        <v>203</v>
      </c>
      <c r="C152" s="5" t="s">
        <v>204</v>
      </c>
      <c r="D152" s="6" t="s">
        <v>12</v>
      </c>
      <c r="E152" s="5" t="s">
        <v>13</v>
      </c>
      <c r="F152" s="7" t="s">
        <v>205</v>
      </c>
      <c r="G152" s="7"/>
      <c r="H152" s="8"/>
      <c r="I152" s="9" t="str">
        <f aca="false">CONCATENATE(B152, CHAR(10), D152, CHAR(10), "Tax ID: ", F152)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153" customFormat="false" ht="49.25" hidden="false" customHeight="false" outlineLevel="0" collapsed="false">
      <c r="A153" s="10" t="s">
        <v>206</v>
      </c>
      <c r="B153" s="10" t="s">
        <v>203</v>
      </c>
      <c r="C153" s="10" t="s">
        <v>204</v>
      </c>
      <c r="D153" s="11" t="s">
        <v>12</v>
      </c>
      <c r="E153" s="10" t="s">
        <v>13</v>
      </c>
      <c r="F153" s="12" t="s">
        <v>205</v>
      </c>
      <c r="G153" s="12"/>
      <c r="H153" s="13"/>
      <c r="I153" s="14" t="str">
        <f aca="false">CONCATENATE(B153, CHAR(10), D153, CHAR(10), "Tax ID: ", F153)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154" customFormat="false" ht="49.25" hidden="false" customHeight="false" outlineLevel="0" collapsed="false">
      <c r="A154" s="5" t="s">
        <v>207</v>
      </c>
      <c r="B154" s="5" t="s">
        <v>203</v>
      </c>
      <c r="C154" s="5" t="s">
        <v>204</v>
      </c>
      <c r="D154" s="6" t="s">
        <v>12</v>
      </c>
      <c r="E154" s="5" t="s">
        <v>13</v>
      </c>
      <c r="F154" s="7" t="s">
        <v>205</v>
      </c>
      <c r="G154" s="7"/>
      <c r="H154" s="8"/>
      <c r="I154" s="9" t="str">
        <f aca="false">CONCATENATE(B154, CHAR(10), D154, CHAR(10), "Tax ID: ", F154)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155" customFormat="false" ht="49.25" hidden="false" customHeight="false" outlineLevel="0" collapsed="false">
      <c r="A155" s="10" t="s">
        <v>208</v>
      </c>
      <c r="B155" s="10" t="s">
        <v>203</v>
      </c>
      <c r="C155" s="10" t="s">
        <v>204</v>
      </c>
      <c r="D155" s="11" t="s">
        <v>12</v>
      </c>
      <c r="E155" s="10" t="s">
        <v>13</v>
      </c>
      <c r="F155" s="12" t="s">
        <v>205</v>
      </c>
      <c r="G155" s="17" t="n">
        <v>2017</v>
      </c>
      <c r="H155" s="13" t="n">
        <v>20017</v>
      </c>
      <c r="I155" s="14" t="str">
        <f aca="false">CONCATENATE(B155, CHAR(10), D155, CHAR(10), "Tax ID: ", F155)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156" customFormat="false" ht="49.25" hidden="false" customHeight="false" outlineLevel="0" collapsed="false">
      <c r="A156" s="5" t="s">
        <v>209</v>
      </c>
      <c r="B156" s="5" t="s">
        <v>203</v>
      </c>
      <c r="C156" s="5" t="s">
        <v>204</v>
      </c>
      <c r="D156" s="6" t="s">
        <v>12</v>
      </c>
      <c r="E156" s="5" t="s">
        <v>13</v>
      </c>
      <c r="F156" s="7" t="s">
        <v>205</v>
      </c>
      <c r="G156" s="7"/>
      <c r="H156" s="8"/>
      <c r="I156" s="9" t="str">
        <f aca="false">CONCATENATE(B156, CHAR(10), D156, CHAR(10), "Tax ID: ", F156)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157" customFormat="false" ht="49.25" hidden="false" customHeight="false" outlineLevel="0" collapsed="false">
      <c r="A157" s="10" t="s">
        <v>210</v>
      </c>
      <c r="B157" s="10" t="s">
        <v>203</v>
      </c>
      <c r="C157" s="10" t="s">
        <v>204</v>
      </c>
      <c r="D157" s="11" t="s">
        <v>12</v>
      </c>
      <c r="E157" s="10" t="s">
        <v>13</v>
      </c>
      <c r="F157" s="12" t="s">
        <v>205</v>
      </c>
      <c r="G157" s="17" t="n">
        <v>2018</v>
      </c>
      <c r="H157" s="13" t="n">
        <v>20018</v>
      </c>
      <c r="I157" s="14" t="str">
        <f aca="false">CONCATENATE(B157, CHAR(10), D157, CHAR(10), "Tax ID: ", F157)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158" customFormat="false" ht="49.25" hidden="false" customHeight="false" outlineLevel="0" collapsed="false">
      <c r="A158" s="5" t="s">
        <v>211</v>
      </c>
      <c r="B158" s="5" t="s">
        <v>203</v>
      </c>
      <c r="C158" s="5" t="s">
        <v>204</v>
      </c>
      <c r="D158" s="6" t="s">
        <v>12</v>
      </c>
      <c r="E158" s="5" t="s">
        <v>13</v>
      </c>
      <c r="F158" s="7" t="s">
        <v>205</v>
      </c>
      <c r="G158" s="7"/>
      <c r="H158" s="8"/>
      <c r="I158" s="9" t="str">
        <f aca="false">CONCATENATE(B158, CHAR(10), D158, CHAR(10), "Tax ID: ", F158)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159" customFormat="false" ht="49.25" hidden="false" customHeight="false" outlineLevel="0" collapsed="false">
      <c r="A159" s="10" t="s">
        <v>212</v>
      </c>
      <c r="B159" s="10" t="s">
        <v>203</v>
      </c>
      <c r="C159" s="10" t="s">
        <v>204</v>
      </c>
      <c r="D159" s="11" t="s">
        <v>12</v>
      </c>
      <c r="E159" s="10" t="s">
        <v>13</v>
      </c>
      <c r="F159" s="12" t="s">
        <v>205</v>
      </c>
      <c r="G159" s="12"/>
      <c r="H159" s="13"/>
      <c r="I159" s="14" t="str">
        <f aca="false">CONCATENATE(B159, CHAR(10), D159, CHAR(10), "Tax ID: ", F159)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160" customFormat="false" ht="49.25" hidden="false" customHeight="false" outlineLevel="0" collapsed="false">
      <c r="A160" s="5" t="s">
        <v>213</v>
      </c>
      <c r="B160" s="5" t="s">
        <v>203</v>
      </c>
      <c r="C160" s="5" t="s">
        <v>204</v>
      </c>
      <c r="D160" s="6" t="s">
        <v>12</v>
      </c>
      <c r="E160" s="5" t="s">
        <v>13</v>
      </c>
      <c r="F160" s="7" t="s">
        <v>205</v>
      </c>
      <c r="G160" s="7"/>
      <c r="H160" s="8"/>
      <c r="I160" s="9" t="str">
        <f aca="false">CONCATENATE(B160, CHAR(10), D160, CHAR(10), "Tax ID: ", F160)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161" customFormat="false" ht="49.25" hidden="false" customHeight="false" outlineLevel="0" collapsed="false">
      <c r="A161" s="10" t="s">
        <v>214</v>
      </c>
      <c r="B161" s="10" t="s">
        <v>203</v>
      </c>
      <c r="C161" s="10" t="s">
        <v>204</v>
      </c>
      <c r="D161" s="11" t="s">
        <v>12</v>
      </c>
      <c r="E161" s="10" t="s">
        <v>13</v>
      </c>
      <c r="F161" s="12" t="s">
        <v>205</v>
      </c>
      <c r="G161" s="12"/>
      <c r="H161" s="13"/>
      <c r="I161" s="14" t="str">
        <f aca="false">CONCATENATE(B161, CHAR(10), D161, CHAR(10), "Tax ID: ", F161)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162" customFormat="false" ht="49.25" hidden="false" customHeight="false" outlineLevel="0" collapsed="false">
      <c r="A162" s="5" t="s">
        <v>215</v>
      </c>
      <c r="B162" s="5" t="s">
        <v>203</v>
      </c>
      <c r="C162" s="5" t="s">
        <v>204</v>
      </c>
      <c r="D162" s="6" t="s">
        <v>12</v>
      </c>
      <c r="E162" s="5" t="s">
        <v>13</v>
      </c>
      <c r="F162" s="7" t="s">
        <v>205</v>
      </c>
      <c r="G162" s="7"/>
      <c r="H162" s="8"/>
      <c r="I162" s="9" t="str">
        <f aca="false">CONCATENATE(B162, CHAR(10), D162, CHAR(10), "Tax ID: ", F162)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163" customFormat="false" ht="49.25" hidden="false" customHeight="false" outlineLevel="0" collapsed="false">
      <c r="A163" s="10" t="s">
        <v>216</v>
      </c>
      <c r="B163" s="10" t="s">
        <v>217</v>
      </c>
      <c r="C163" s="10" t="s">
        <v>218</v>
      </c>
      <c r="D163" s="11" t="s">
        <v>12</v>
      </c>
      <c r="E163" s="10" t="s">
        <v>13</v>
      </c>
      <c r="F163" s="12" t="s">
        <v>219</v>
      </c>
      <c r="G163" s="12"/>
      <c r="H163" s="13"/>
      <c r="I163" s="14" t="str">
        <f aca="false">CONCATENATE(B163, CHAR(10), D163, CHAR(10), "Tax ID: ", F163)</f>
        <v>บริษัท เอเชี่ยน พร็อพเพอร์ตี้ (2012)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0105555003110</v>
      </c>
    </row>
    <row r="164" customFormat="false" ht="49.25" hidden="false" customHeight="false" outlineLevel="0" collapsed="false">
      <c r="A164" s="5" t="s">
        <v>220</v>
      </c>
      <c r="B164" s="5" t="s">
        <v>221</v>
      </c>
      <c r="C164" s="5" t="s">
        <v>220</v>
      </c>
      <c r="D164" s="6" t="s">
        <v>222</v>
      </c>
      <c r="E164" s="5" t="s">
        <v>223</v>
      </c>
      <c r="F164" s="7" t="s">
        <v>224</v>
      </c>
      <c r="G164" s="7"/>
      <c r="H164" s="8"/>
      <c r="I164" s="9" t="str">
        <f aca="false">CONCATENATE(B164, CHAR(10), D164, CHAR(10), "Tax ID: ", F164)</f>
        <v>บริษัท กรุงเทพ ซิตี้สมาร์ท จำกัด (สำนักงานใหญ่) 
เลขที่ 170/48 อาคารโอเชี่ยนทาวเวอร์ 1 ชั้น 15 ถ.รัชดาภิเษกตัดใหม่ 
แขวงคลองเตย เขตคลองเตย กรุงเทพฯ 10110
Tax ID: 0105548123024</v>
      </c>
    </row>
    <row r="165" customFormat="false" ht="49.25" hidden="false" customHeight="false" outlineLevel="0" collapsed="false">
      <c r="A165" s="10" t="s">
        <v>225</v>
      </c>
      <c r="B165" s="10" t="s">
        <v>226</v>
      </c>
      <c r="C165" s="10" t="s">
        <v>227</v>
      </c>
      <c r="D165" s="11" t="s">
        <v>228</v>
      </c>
      <c r="E165" s="10" t="s">
        <v>13</v>
      </c>
      <c r="F165" s="12" t="s">
        <v>229</v>
      </c>
      <c r="G165" s="12"/>
      <c r="H165" s="13"/>
      <c r="I165" s="14" t="str">
        <f aca="false">CONCATENATE(B165, CHAR(10), D165, CHAR(10), "Tax ID: ", F165)</f>
        <v>บริษัท ไทยบิ๊กเบลลี่ จำกัด (สำนักงานใหญ่) 
เลขที่ 170/64,66 อาคารโอเชี่ยนทาวเวอร์ 1 ชั้น 21 ถ.รัชดาภิเษกตัดใหม่ 
แขวงคลองเตย เขตคลองเตย กรุงเทพฯ 10110
Tax ID: 0105556036810</v>
      </c>
    </row>
    <row r="166" customFormat="false" ht="49.25" hidden="false" customHeight="false" outlineLevel="0" collapsed="false">
      <c r="A166" s="5" t="s">
        <v>230</v>
      </c>
      <c r="B166" s="5" t="s">
        <v>231</v>
      </c>
      <c r="C166" s="5" t="s">
        <v>232</v>
      </c>
      <c r="D166" s="6" t="s">
        <v>12</v>
      </c>
      <c r="E166" s="5" t="s">
        <v>13</v>
      </c>
      <c r="F166" s="7" t="s">
        <v>233</v>
      </c>
      <c r="G166" s="7"/>
      <c r="H166" s="8"/>
      <c r="I166" s="9" t="str">
        <f aca="false">CONCATENATE(B166, CHAR(10), D166, CHAR(10), "Tax ID: ", F166)</f>
        <v>บริษัท เอพี เอ็มอี 2 จำกัด (สำนักงานใหญ่) 
170/57 อาคารโอเชี่ยนทาวเวอร์ 1 ชั้น 18 ถ.รัชดาภิเษกตัดใหม่ 
แขวงคลองเตย เขตคลองเตย กรุงเทพฯ 10110
Tax ID: 0105558067640</v>
      </c>
    </row>
    <row r="167" customFormat="false" ht="49.25" hidden="false" customHeight="false" outlineLevel="0" collapsed="false">
      <c r="A167" s="10" t="s">
        <v>234</v>
      </c>
      <c r="B167" s="10" t="s">
        <v>235</v>
      </c>
      <c r="C167" s="10" t="s">
        <v>236</v>
      </c>
      <c r="D167" s="11" t="s">
        <v>12</v>
      </c>
      <c r="E167" s="10" t="s">
        <v>13</v>
      </c>
      <c r="F167" s="12" t="s">
        <v>237</v>
      </c>
      <c r="G167" s="12"/>
      <c r="H167" s="13"/>
      <c r="I167" s="14" t="str">
        <f aca="false">CONCATENATE(B167, CHAR(10), D167, CHAR(10), "Tax ID: ", F167)</f>
        <v>บริษัท เอพี (เอกมัย) จำกัด (สำนักงานใหญ่) 
170/57 อาคารโอเชี่ยนทาวเวอร์ 1 ชั้น 18 ถ.รัชดาภิเษกตัดใหม่ 
แขวงคลองเตย เขตคลองเตย กรุงเทพฯ 10110
Tax ID: 0105557063691</v>
      </c>
    </row>
    <row r="168" customFormat="false" ht="49.25" hidden="false" customHeight="false" outlineLevel="0" collapsed="false">
      <c r="A168" s="5" t="s">
        <v>238</v>
      </c>
      <c r="B168" s="5" t="s">
        <v>239</v>
      </c>
      <c r="C168" s="5" t="s">
        <v>240</v>
      </c>
      <c r="D168" s="6" t="s">
        <v>12</v>
      </c>
      <c r="E168" s="5" t="s">
        <v>13</v>
      </c>
      <c r="F168" s="7" t="s">
        <v>241</v>
      </c>
      <c r="G168" s="15" t="s">
        <v>242</v>
      </c>
      <c r="H168" s="8" t="s">
        <v>243</v>
      </c>
      <c r="I168" s="9" t="str">
        <f aca="false">CONCATENATE(B168, CHAR(10), D168, CHAR(10), "Tax ID: ", F168)</f>
        <v>บริษัท เอพี เอ็มอี 14 จำกัด (สำนักงานใหญ่) 
170/57 อาคารโอเชี่ยนทาวเวอร์ 1 ชั้น 18 ถ.รัชดาภิเษกตัดใหม่ 
แขวงคลองเตย เขตคลองเตย กรุงเทพฯ 10110
Tax ID: 0105561085688</v>
      </c>
    </row>
    <row r="169" customFormat="false" ht="49.25" hidden="false" customHeight="false" outlineLevel="0" collapsed="false">
      <c r="A169" s="10" t="s">
        <v>244</v>
      </c>
      <c r="B169" s="10" t="s">
        <v>245</v>
      </c>
      <c r="C169" s="10" t="s">
        <v>246</v>
      </c>
      <c r="D169" s="11" t="s">
        <v>12</v>
      </c>
      <c r="E169" s="10" t="s">
        <v>13</v>
      </c>
      <c r="F169" s="12" t="s">
        <v>247</v>
      </c>
      <c r="G169" s="12"/>
      <c r="H169" s="13"/>
      <c r="I169" s="14" t="str">
        <f aca="false">CONCATENATE(B169, CHAR(10), D169, CHAR(10), "Tax ID: ", F169)</f>
        <v>บริษัท เอพี (รัชโยธิน) จำกัด (สำนักงานใหญ่) 
170/57 อาคารโอเชี่ยนทาวเวอร์ 1 ชั้น 18 ถ.รัชดาภิเษกตัดใหม่ 
แขวงคลองเตย เขตคลองเตย กรุงเทพฯ 10110
Tax ID: 0105557183409</v>
      </c>
    </row>
    <row r="170" customFormat="false" ht="49.25" hidden="false" customHeight="false" outlineLevel="0" collapsed="false">
      <c r="A170" s="5" t="s">
        <v>248</v>
      </c>
      <c r="B170" s="5" t="s">
        <v>249</v>
      </c>
      <c r="C170" s="5" t="s">
        <v>250</v>
      </c>
      <c r="D170" s="6" t="s">
        <v>12</v>
      </c>
      <c r="E170" s="5" t="s">
        <v>13</v>
      </c>
      <c r="F170" s="7" t="s">
        <v>251</v>
      </c>
      <c r="G170" s="7"/>
      <c r="H170" s="8"/>
      <c r="I170" s="9" t="str">
        <f aca="false">CONCATENATE(B170, CHAR(10), D170, CHAR(10), "Tax ID: ", F170)</f>
        <v>บริษัท เอพี เอ็มอี 3 จำกัด (สำนักงานใหญ่) 
170/57 อาคารโอเชี่ยนทาวเวอร์ 1 ชั้น 18 ถ.รัชดาภิเษกตัดใหม่ 
แขวงคลองเตย เขตคลองเตย กรุงเทพฯ 10110
Tax ID: 0105558109199</v>
      </c>
    </row>
    <row r="171" customFormat="false" ht="49.25" hidden="false" customHeight="false" outlineLevel="0" collapsed="false">
      <c r="A171" s="10" t="s">
        <v>252</v>
      </c>
      <c r="B171" s="10" t="s">
        <v>249</v>
      </c>
      <c r="C171" s="10" t="s">
        <v>250</v>
      </c>
      <c r="D171" s="11" t="s">
        <v>12</v>
      </c>
      <c r="E171" s="10" t="s">
        <v>13</v>
      </c>
      <c r="F171" s="12" t="s">
        <v>251</v>
      </c>
      <c r="G171" s="17" t="s">
        <v>253</v>
      </c>
      <c r="H171" s="13" t="s">
        <v>254</v>
      </c>
      <c r="I171" s="14" t="str">
        <f aca="false">CONCATENATE(B171, CHAR(10), D171, CHAR(10), "Tax ID: ", F171)</f>
        <v>บริษัท เอพี เอ็มอี 3 จำกัด (สำนักงานใหญ่) 
170/57 อาคารโอเชี่ยนทาวเวอร์ 1 ชั้น 18 ถ.รัชดาภิเษกตัดใหม่ 
แขวงคลองเตย เขตคลองเตย กรุงเทพฯ 10110
Tax ID: 0105558109199</v>
      </c>
    </row>
    <row r="172" customFormat="false" ht="49.25" hidden="false" customHeight="false" outlineLevel="0" collapsed="false">
      <c r="A172" s="5" t="s">
        <v>255</v>
      </c>
      <c r="B172" s="5" t="s">
        <v>256</v>
      </c>
      <c r="C172" s="5" t="s">
        <v>257</v>
      </c>
      <c r="D172" s="6" t="s">
        <v>12</v>
      </c>
      <c r="E172" s="5" t="s">
        <v>13</v>
      </c>
      <c r="F172" s="7" t="s">
        <v>258</v>
      </c>
      <c r="G172" s="7"/>
      <c r="H172" s="8"/>
      <c r="I172" s="9" t="str">
        <f aca="false">CONCATENATE(B172, CHAR(10), D172, CHAR(10), "Tax ID: ", F172)</f>
        <v>บริษัท เอพี เอ็มอี 5 จำกัด (สำนักงานใหญ่) 
170/57 อาคารโอเชี่ยนทาวเวอร์ 1 ชั้น 18 ถ.รัชดาภิเษกตัดใหม่ 
แขวงคลองเตย เขตคลองเตย กรุงเทพฯ 10110
Tax ID: 0105559070024</v>
      </c>
    </row>
    <row r="173" customFormat="false" ht="49.25" hidden="false" customHeight="false" outlineLevel="0" collapsed="false">
      <c r="A173" s="10" t="s">
        <v>259</v>
      </c>
      <c r="B173" s="10" t="s">
        <v>260</v>
      </c>
      <c r="C173" s="10" t="s">
        <v>261</v>
      </c>
      <c r="D173" s="11" t="s">
        <v>12</v>
      </c>
      <c r="E173" s="10" t="s">
        <v>13</v>
      </c>
      <c r="F173" s="12" t="s">
        <v>262</v>
      </c>
      <c r="G173" s="17" t="s">
        <v>263</v>
      </c>
      <c r="H173" s="13" t="s">
        <v>264</v>
      </c>
      <c r="I173" s="14" t="str">
        <f aca="false">CONCATENATE(B173, CHAR(10), D173, CHAR(10), "Tax ID: ", F173)</f>
        <v>บริษัท เอพี เอ็มอี 4 จำกัด (สำนักงานใหญ่) 
170/57 อาคารโอเชี่ยนทาวเวอร์ 1 ชั้น 18 ถ.รัชดาภิเษกตัดใหม่ 
แขวงคลองเตย เขตคลองเตย กรุงเทพฯ 10110
Tax ID: 0105559070016</v>
      </c>
    </row>
    <row r="174" customFormat="false" ht="49.25" hidden="false" customHeight="false" outlineLevel="0" collapsed="false">
      <c r="A174" s="5" t="s">
        <v>265</v>
      </c>
      <c r="B174" s="5" t="s">
        <v>266</v>
      </c>
      <c r="C174" s="5" t="s">
        <v>267</v>
      </c>
      <c r="D174" s="6" t="s">
        <v>12</v>
      </c>
      <c r="E174" s="5" t="s">
        <v>13</v>
      </c>
      <c r="F174" s="7" t="s">
        <v>268</v>
      </c>
      <c r="G174" s="7"/>
      <c r="H174" s="8"/>
      <c r="I174" s="9" t="str">
        <f aca="false">CONCATENATE(B174, CHAR(10), D174, CHAR(10), "Tax ID: ", F174)</f>
        <v>บริษัท เอเชี่ยน พร็อพเพอร์ตี้ (2017)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0105560174822</v>
      </c>
    </row>
    <row r="175" customFormat="false" ht="49.25" hidden="false" customHeight="false" outlineLevel="0" collapsed="false">
      <c r="A175" s="10" t="s">
        <v>269</v>
      </c>
      <c r="B175" s="10" t="s">
        <v>266</v>
      </c>
      <c r="C175" s="10" t="s">
        <v>267</v>
      </c>
      <c r="D175" s="11" t="s">
        <v>12</v>
      </c>
      <c r="E175" s="10" t="s">
        <v>13</v>
      </c>
      <c r="F175" s="12" t="s">
        <v>268</v>
      </c>
      <c r="G175" s="17" t="s">
        <v>270</v>
      </c>
      <c r="H175" s="13" t="s">
        <v>271</v>
      </c>
      <c r="I175" s="14" t="str">
        <f aca="false">CONCATENATE(B175, CHAR(10), D175, CHAR(10), "Tax ID: ", F175)</f>
        <v>บริษัท เอเชี่ยน พร็อพเพอร์ตี้ (2017)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0105560174822</v>
      </c>
    </row>
    <row r="176" customFormat="false" ht="49.25" hidden="false" customHeight="false" outlineLevel="0" collapsed="false">
      <c r="A176" s="5" t="s">
        <v>272</v>
      </c>
      <c r="B176" s="5" t="s">
        <v>266</v>
      </c>
      <c r="C176" s="5" t="s">
        <v>267</v>
      </c>
      <c r="D176" s="6" t="s">
        <v>12</v>
      </c>
      <c r="E176" s="5" t="s">
        <v>13</v>
      </c>
      <c r="F176" s="7" t="s">
        <v>268</v>
      </c>
      <c r="G176" s="7"/>
      <c r="H176" s="8"/>
      <c r="I176" s="9" t="str">
        <f aca="false">CONCATENATE(B176, CHAR(10), D176, CHAR(10), "Tax ID: ", F176)</f>
        <v>บริษัท เอเชี่ยน พร็อพเพอร์ตี้ (2017)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0105560174822</v>
      </c>
    </row>
    <row r="177" customFormat="false" ht="49.25" hidden="false" customHeight="false" outlineLevel="0" collapsed="false">
      <c r="A177" s="10" t="s">
        <v>273</v>
      </c>
      <c r="B177" s="10" t="s">
        <v>266</v>
      </c>
      <c r="C177" s="10" t="s">
        <v>267</v>
      </c>
      <c r="D177" s="11" t="s">
        <v>12</v>
      </c>
      <c r="E177" s="10" t="s">
        <v>13</v>
      </c>
      <c r="F177" s="12" t="s">
        <v>268</v>
      </c>
      <c r="G177" s="17" t="s">
        <v>274</v>
      </c>
      <c r="H177" s="13" t="s">
        <v>275</v>
      </c>
      <c r="I177" s="14" t="str">
        <f aca="false">CONCATENATE(B177, CHAR(10), D177, CHAR(10), "Tax ID: ", F177)</f>
        <v>บริษัท เอเชี่ยน พร็อพเพอร์ตี้ (2017)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0105560174822</v>
      </c>
    </row>
    <row r="178" customFormat="false" ht="49.25" hidden="false" customHeight="false" outlineLevel="0" collapsed="false">
      <c r="A178" s="5" t="s">
        <v>276</v>
      </c>
      <c r="B178" s="5" t="s">
        <v>277</v>
      </c>
      <c r="C178" s="5" t="s">
        <v>278</v>
      </c>
      <c r="D178" s="6" t="s">
        <v>12</v>
      </c>
      <c r="E178" s="5" t="s">
        <v>13</v>
      </c>
      <c r="F178" s="7" t="s">
        <v>279</v>
      </c>
      <c r="G178" s="15" t="s">
        <v>280</v>
      </c>
      <c r="H178" s="8" t="s">
        <v>281</v>
      </c>
      <c r="I178" s="9" t="str">
        <f aca="false">CONCATENATE(B178, CHAR(10), D178, CHAR(10), "Tax ID: ", F178)</f>
        <v>บริษัท เอเชี่ยน พร็อพเพอร์ตี้ (2018)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0105560124515</v>
      </c>
    </row>
    <row r="179" customFormat="false" ht="49.25" hidden="false" customHeight="false" outlineLevel="0" collapsed="false">
      <c r="A179" s="10" t="s">
        <v>282</v>
      </c>
      <c r="B179" s="10" t="s">
        <v>283</v>
      </c>
      <c r="C179" s="10" t="s">
        <v>284</v>
      </c>
      <c r="D179" s="11" t="s">
        <v>12</v>
      </c>
      <c r="E179" s="10" t="s">
        <v>13</v>
      </c>
      <c r="F179" s="12" t="s">
        <v>285</v>
      </c>
      <c r="G179" s="17" t="s">
        <v>286</v>
      </c>
      <c r="H179" s="13" t="s">
        <v>287</v>
      </c>
      <c r="I179" s="14" t="str">
        <f aca="false">CONCATENATE(B179, CHAR(10), D179, CHAR(10), "Tax ID: ", F179)</f>
        <v>บริษัท เอพี เอ็มอี 6 จำกัด (สำนักงานใหญ่) 
170/57 อาคารโอเชี่ยนทาวเวอร์ 1 ชั้น 18 ถ.รัชดาภิเษกตัดใหม่ 
แขวงคลองเตย เขตคลองเตย กรุงเทพฯ 10110
Tax ID: 0105560124493</v>
      </c>
    </row>
    <row r="180" customFormat="false" ht="49.25" hidden="false" customHeight="false" outlineLevel="0" collapsed="false">
      <c r="A180" s="5" t="s">
        <v>288</v>
      </c>
      <c r="B180" s="5" t="s">
        <v>289</v>
      </c>
      <c r="C180" s="5" t="s">
        <v>290</v>
      </c>
      <c r="D180" s="6" t="s">
        <v>12</v>
      </c>
      <c r="E180" s="5" t="s">
        <v>13</v>
      </c>
      <c r="F180" s="7" t="s">
        <v>291</v>
      </c>
      <c r="G180" s="15" t="s">
        <v>292</v>
      </c>
      <c r="H180" s="8" t="s">
        <v>293</v>
      </c>
      <c r="I180" s="9" t="str">
        <f aca="false">CONCATENATE(B180, CHAR(10), D180, CHAR(10), "Tax ID: ", F180)</f>
        <v>บริษัท เอพี เอ็มอี 8 จำกัด (สำนักงานใหญ่) 
170/57 อาคารโอเชี่ยนทาวเวอร์ 1 ชั้น 18 ถ.รัชดาภิเษกตัดใหม่ 
แขวงคลองเตย เขตคลองเตย กรุงเทพฯ 10110
Tax ID: 0105560175632</v>
      </c>
    </row>
    <row r="181" customFormat="false" ht="49.25" hidden="false" customHeight="false" outlineLevel="0" collapsed="false">
      <c r="A181" s="10" t="s">
        <v>294</v>
      </c>
      <c r="B181" s="14" t="s">
        <v>101</v>
      </c>
      <c r="C181" s="14" t="s">
        <v>102</v>
      </c>
      <c r="D181" s="21" t="s">
        <v>103</v>
      </c>
      <c r="E181" s="10" t="s">
        <v>104</v>
      </c>
      <c r="F181" s="12" t="s">
        <v>105</v>
      </c>
      <c r="G181" s="12"/>
      <c r="H181" s="13"/>
      <c r="I181" s="19" t="str">
        <f aca="false">CONCATENATE(B181, CHAR(10), D181, CHAR(10), "Tax ID: ", F181)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</row>
    <row r="182" customFormat="false" ht="49.25" hidden="false" customHeight="false" outlineLevel="0" collapsed="false">
      <c r="A182" s="5" t="s">
        <v>295</v>
      </c>
      <c r="B182" s="9" t="s">
        <v>101</v>
      </c>
      <c r="C182" s="9" t="s">
        <v>102</v>
      </c>
      <c r="D182" s="18" t="s">
        <v>103</v>
      </c>
      <c r="E182" s="5" t="s">
        <v>104</v>
      </c>
      <c r="F182" s="7" t="s">
        <v>105</v>
      </c>
      <c r="G182" s="15" t="n">
        <v>7043</v>
      </c>
      <c r="H182" s="8" t="n">
        <v>70043</v>
      </c>
      <c r="I182" s="19" t="str">
        <f aca="false">CONCATENATE(B182, CHAR(10), D182, CHAR(10), "Tax ID: ", F182)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</row>
    <row r="183" customFormat="false" ht="49.25" hidden="false" customHeight="false" outlineLevel="0" collapsed="false">
      <c r="A183" s="10" t="s">
        <v>296</v>
      </c>
      <c r="B183" s="10" t="s">
        <v>297</v>
      </c>
      <c r="C183" s="10" t="s">
        <v>298</v>
      </c>
      <c r="D183" s="11" t="s">
        <v>12</v>
      </c>
      <c r="E183" s="10" t="s">
        <v>13</v>
      </c>
      <c r="F183" s="12" t="s">
        <v>299</v>
      </c>
      <c r="G183" s="17" t="s">
        <v>300</v>
      </c>
      <c r="H183" s="13" t="s">
        <v>301</v>
      </c>
      <c r="I183" s="14" t="str">
        <f aca="false">CONCATENATE(B183, CHAR(10), D183, CHAR(10), "Tax ID: ", F183)</f>
        <v>บริษัท เอพี เอ็มอี 10 จำกัด (สำนักงานใหญ่) 
170/57 อาคารโอเชี่ยนทาวเวอร์ 1 ชั้น 18 ถ.รัชดาภิเษกตัดใหม่ 
แขวงคลองเตย เขตคลองเตย กรุงเทพฯ 10110
Tax ID: 0105561049304</v>
      </c>
    </row>
    <row r="184" customFormat="false" ht="49.25" hidden="false" customHeight="false" outlineLevel="0" collapsed="false">
      <c r="A184" s="5" t="s">
        <v>302</v>
      </c>
      <c r="B184" s="9" t="s">
        <v>101</v>
      </c>
      <c r="C184" s="9" t="s">
        <v>102</v>
      </c>
      <c r="D184" s="18" t="s">
        <v>103</v>
      </c>
      <c r="E184" s="5" t="s">
        <v>104</v>
      </c>
      <c r="F184" s="7" t="s">
        <v>105</v>
      </c>
      <c r="G184" s="7"/>
      <c r="H184" s="8"/>
      <c r="I184" s="19" t="str">
        <f aca="false">CONCATENATE(B184, CHAR(10), D184, CHAR(10), "Tax ID: ", F184)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</row>
    <row r="185" customFormat="false" ht="49.25" hidden="false" customHeight="false" outlineLevel="0" collapsed="false">
      <c r="A185" s="10" t="s">
        <v>303</v>
      </c>
      <c r="B185" s="14" t="s">
        <v>101</v>
      </c>
      <c r="C185" s="14" t="s">
        <v>102</v>
      </c>
      <c r="D185" s="21" t="s">
        <v>103</v>
      </c>
      <c r="E185" s="10" t="s">
        <v>104</v>
      </c>
      <c r="F185" s="12" t="s">
        <v>105</v>
      </c>
      <c r="G185" s="17" t="n">
        <v>7052</v>
      </c>
      <c r="H185" s="13" t="n">
        <v>70052</v>
      </c>
      <c r="I185" s="19" t="str">
        <f aca="false">CONCATENATE(B185, CHAR(10), D185, CHAR(10), "Tax ID: ", F185)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</row>
    <row r="186" customFormat="false" ht="49.25" hidden="false" customHeight="false" outlineLevel="0" collapsed="false">
      <c r="A186" s="5" t="s">
        <v>304</v>
      </c>
      <c r="B186" s="9" t="s">
        <v>101</v>
      </c>
      <c r="C186" s="9" t="s">
        <v>102</v>
      </c>
      <c r="D186" s="18" t="s">
        <v>103</v>
      </c>
      <c r="E186" s="5" t="s">
        <v>104</v>
      </c>
      <c r="F186" s="7" t="s">
        <v>105</v>
      </c>
      <c r="G186" s="15" t="n">
        <v>7037</v>
      </c>
      <c r="H186" s="8" t="n">
        <v>70037</v>
      </c>
      <c r="I186" s="19" t="str">
        <f aca="false">CONCATENATE(B186, CHAR(10), D186, CHAR(10), "Tax ID: ", F186)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</row>
    <row r="187" customFormat="false" ht="49.25" hidden="false" customHeight="false" outlineLevel="0" collapsed="false">
      <c r="A187" s="10" t="s">
        <v>305</v>
      </c>
      <c r="B187" s="10" t="s">
        <v>132</v>
      </c>
      <c r="C187" s="10" t="s">
        <v>133</v>
      </c>
      <c r="D187" s="11" t="s">
        <v>12</v>
      </c>
      <c r="E187" s="10" t="s">
        <v>13</v>
      </c>
      <c r="F187" s="12" t="s">
        <v>134</v>
      </c>
      <c r="G187" s="17" t="n">
        <v>4044</v>
      </c>
      <c r="H187" s="13" t="n">
        <v>40044</v>
      </c>
      <c r="I187" s="22" t="str">
        <f aca="false">CONCATENATE(B187, CHAR(10), D187, CHAR(10), "Tax ID: ", F187)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</row>
    <row r="188" customFormat="false" ht="49.25" hidden="false" customHeight="false" outlineLevel="0" collapsed="false">
      <c r="A188" s="5" t="s">
        <v>306</v>
      </c>
      <c r="B188" s="5" t="s">
        <v>203</v>
      </c>
      <c r="C188" s="5" t="s">
        <v>204</v>
      </c>
      <c r="D188" s="6" t="s">
        <v>12</v>
      </c>
      <c r="E188" s="5" t="s">
        <v>13</v>
      </c>
      <c r="F188" s="7" t="s">
        <v>205</v>
      </c>
      <c r="G188" s="15" t="n">
        <v>2020</v>
      </c>
      <c r="H188" s="8" t="n">
        <v>20020</v>
      </c>
      <c r="I188" s="22" t="str">
        <f aca="false">CONCATENATE(B188, CHAR(10), D188, CHAR(10), "Tax ID: ", F188)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</row>
    <row r="189" customFormat="false" ht="49.25" hidden="false" customHeight="false" outlineLevel="0" collapsed="false">
      <c r="A189" s="10" t="s">
        <v>307</v>
      </c>
      <c r="B189" s="14" t="s">
        <v>101</v>
      </c>
      <c r="C189" s="14" t="s">
        <v>102</v>
      </c>
      <c r="D189" s="21" t="s">
        <v>103</v>
      </c>
      <c r="E189" s="10" t="s">
        <v>104</v>
      </c>
      <c r="F189" s="12" t="s">
        <v>105</v>
      </c>
      <c r="G189" s="17" t="n">
        <v>7057</v>
      </c>
      <c r="H189" s="13" t="n">
        <v>70057</v>
      </c>
      <c r="I189" s="19" t="str">
        <f aca="false">CONCATENATE(B189, CHAR(10), D189, CHAR(10), "Tax ID: ", F189)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</row>
    <row r="190" customFormat="false" ht="49.25" hidden="false" customHeight="false" outlineLevel="0" collapsed="false">
      <c r="A190" s="5" t="s">
        <v>308</v>
      </c>
      <c r="B190" s="9" t="s">
        <v>101</v>
      </c>
      <c r="C190" s="9" t="s">
        <v>102</v>
      </c>
      <c r="D190" s="18" t="s">
        <v>103</v>
      </c>
      <c r="E190" s="5" t="s">
        <v>104</v>
      </c>
      <c r="F190" s="7" t="s">
        <v>105</v>
      </c>
      <c r="G190" s="15" t="n">
        <v>7058</v>
      </c>
      <c r="H190" s="8" t="n">
        <v>70058</v>
      </c>
      <c r="I190" s="19" t="str">
        <f aca="false">CONCATENATE(B190, CHAR(10), D190, CHAR(10), "Tax ID: ", F190)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</row>
    <row r="191" customFormat="false" ht="49.25" hidden="false" customHeight="false" outlineLevel="0" collapsed="false">
      <c r="A191" s="10" t="s">
        <v>309</v>
      </c>
      <c r="B191" s="14" t="s">
        <v>101</v>
      </c>
      <c r="C191" s="14" t="s">
        <v>102</v>
      </c>
      <c r="D191" s="21" t="s">
        <v>103</v>
      </c>
      <c r="E191" s="10" t="s">
        <v>104</v>
      </c>
      <c r="F191" s="12" t="s">
        <v>105</v>
      </c>
      <c r="G191" s="17" t="n">
        <v>7056</v>
      </c>
      <c r="H191" s="13" t="n">
        <v>70056</v>
      </c>
      <c r="I191" s="19" t="str">
        <f aca="false">CONCATENATE(B191, CHAR(10), D191, CHAR(10), "Tax ID: ", F191)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</row>
    <row r="192" customFormat="false" ht="49.25" hidden="false" customHeight="false" outlineLevel="0" collapsed="false">
      <c r="A192" s="5" t="s">
        <v>310</v>
      </c>
      <c r="B192" s="9" t="s">
        <v>101</v>
      </c>
      <c r="C192" s="9" t="s">
        <v>102</v>
      </c>
      <c r="D192" s="18" t="s">
        <v>103</v>
      </c>
      <c r="E192" s="5" t="s">
        <v>104</v>
      </c>
      <c r="F192" s="7" t="s">
        <v>105</v>
      </c>
      <c r="G192" s="15" t="n">
        <v>7050</v>
      </c>
      <c r="H192" s="8" t="n">
        <v>70050</v>
      </c>
      <c r="I192" s="19" t="str">
        <f aca="false">CONCATENATE(B192, CHAR(10), D192, CHAR(10), "Tax ID: ", F192)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</row>
    <row r="193" customFormat="false" ht="49.25" hidden="false" customHeight="false" outlineLevel="0" collapsed="false">
      <c r="A193" s="10" t="s">
        <v>311</v>
      </c>
      <c r="B193" s="14" t="s">
        <v>101</v>
      </c>
      <c r="C193" s="14" t="s">
        <v>102</v>
      </c>
      <c r="D193" s="21" t="s">
        <v>103</v>
      </c>
      <c r="E193" s="10" t="s">
        <v>104</v>
      </c>
      <c r="F193" s="12" t="s">
        <v>105</v>
      </c>
      <c r="G193" s="12"/>
      <c r="H193" s="13"/>
      <c r="I193" s="19" t="str">
        <f aca="false">CONCATENATE(B193, CHAR(10), D193, CHAR(10), "Tax ID: ", F193)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</row>
    <row r="194" customFormat="false" ht="49.25" hidden="false" customHeight="false" outlineLevel="0" collapsed="false">
      <c r="A194" s="5" t="s">
        <v>312</v>
      </c>
      <c r="B194" s="5" t="s">
        <v>132</v>
      </c>
      <c r="C194" s="5" t="s">
        <v>133</v>
      </c>
      <c r="D194" s="6" t="s">
        <v>12</v>
      </c>
      <c r="E194" s="5" t="s">
        <v>13</v>
      </c>
      <c r="F194" s="7" t="s">
        <v>134</v>
      </c>
      <c r="G194" s="15" t="n">
        <v>4055</v>
      </c>
      <c r="H194" s="8" t="n">
        <v>40055</v>
      </c>
      <c r="I194" s="22" t="str">
        <f aca="false">CONCATENATE(B194, CHAR(10), D194, CHAR(10), "Tax ID: ", F194)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</row>
    <row r="195" customFormat="false" ht="49.25" hidden="false" customHeight="false" outlineLevel="0" collapsed="false">
      <c r="A195" s="10" t="s">
        <v>313</v>
      </c>
      <c r="B195" s="14" t="s">
        <v>101</v>
      </c>
      <c r="C195" s="14" t="s">
        <v>102</v>
      </c>
      <c r="D195" s="21" t="s">
        <v>103</v>
      </c>
      <c r="E195" s="10" t="s">
        <v>104</v>
      </c>
      <c r="F195" s="12" t="s">
        <v>105</v>
      </c>
      <c r="G195" s="17" t="n">
        <v>7061</v>
      </c>
      <c r="H195" s="13" t="n">
        <v>70061</v>
      </c>
      <c r="I195" s="19" t="str">
        <f aca="false">CONCATENATE(B195, CHAR(10), D195, CHAR(10), "Tax ID: ", F195)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</row>
    <row r="196" customFormat="false" ht="49.25" hidden="false" customHeight="false" outlineLevel="0" collapsed="false">
      <c r="A196" s="5" t="s">
        <v>314</v>
      </c>
      <c r="B196" s="9" t="s">
        <v>101</v>
      </c>
      <c r="C196" s="9" t="s">
        <v>102</v>
      </c>
      <c r="D196" s="18" t="s">
        <v>103</v>
      </c>
      <c r="E196" s="5" t="s">
        <v>104</v>
      </c>
      <c r="F196" s="7" t="s">
        <v>105</v>
      </c>
      <c r="G196" s="15" t="n">
        <v>7044</v>
      </c>
      <c r="H196" s="8" t="n">
        <v>70044</v>
      </c>
      <c r="I196" s="19" t="str">
        <f aca="false">CONCATENATE(B196, CHAR(10), D196, CHAR(10), "Tax ID: ", F196)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</row>
    <row r="197" customFormat="false" ht="49.25" hidden="false" customHeight="false" outlineLevel="0" collapsed="false">
      <c r="A197" s="10" t="s">
        <v>315</v>
      </c>
      <c r="B197" s="14" t="s">
        <v>101</v>
      </c>
      <c r="C197" s="14" t="s">
        <v>102</v>
      </c>
      <c r="D197" s="21" t="s">
        <v>103</v>
      </c>
      <c r="E197" s="10" t="s">
        <v>104</v>
      </c>
      <c r="F197" s="12" t="s">
        <v>105</v>
      </c>
      <c r="G197" s="17" t="n">
        <v>7065</v>
      </c>
      <c r="H197" s="13" t="n">
        <v>70065</v>
      </c>
      <c r="I197" s="19" t="str">
        <f aca="false">CONCATENATE(B197, CHAR(10), D197, CHAR(10), "Tax ID: ", F197)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</row>
    <row r="198" customFormat="false" ht="49.25" hidden="false" customHeight="false" outlineLevel="0" collapsed="false">
      <c r="A198" s="5" t="s">
        <v>316</v>
      </c>
      <c r="B198" s="9" t="s">
        <v>101</v>
      </c>
      <c r="C198" s="9" t="s">
        <v>102</v>
      </c>
      <c r="D198" s="18" t="s">
        <v>103</v>
      </c>
      <c r="E198" s="5" t="s">
        <v>104</v>
      </c>
      <c r="F198" s="7" t="s">
        <v>105</v>
      </c>
      <c r="G198" s="15" t="n">
        <v>7054</v>
      </c>
      <c r="H198" s="8" t="n">
        <v>70054</v>
      </c>
      <c r="I198" s="19" t="str">
        <f aca="false">CONCATENATE(B198, CHAR(10), D198, CHAR(10), "Tax ID: ", F198)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</row>
    <row r="199" customFormat="false" ht="49.25" hidden="false" customHeight="false" outlineLevel="0" collapsed="false">
      <c r="A199" s="10" t="s">
        <v>317</v>
      </c>
      <c r="B199" s="14" t="s">
        <v>101</v>
      </c>
      <c r="C199" s="14" t="s">
        <v>102</v>
      </c>
      <c r="D199" s="21" t="s">
        <v>103</v>
      </c>
      <c r="E199" s="10" t="s">
        <v>104</v>
      </c>
      <c r="F199" s="12" t="s">
        <v>105</v>
      </c>
      <c r="G199" s="17" t="s">
        <v>318</v>
      </c>
      <c r="H199" s="13" t="n">
        <v>70059</v>
      </c>
      <c r="I199" s="19" t="str">
        <f aca="false">CONCATENATE(B199, CHAR(10), D199, CHAR(10), "Tax ID: ", F199)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</row>
    <row r="200" customFormat="false" ht="49.25" hidden="false" customHeight="false" outlineLevel="0" collapsed="false">
      <c r="A200" s="5" t="s">
        <v>319</v>
      </c>
      <c r="B200" s="5" t="s">
        <v>203</v>
      </c>
      <c r="C200" s="9" t="s">
        <v>204</v>
      </c>
      <c r="D200" s="6" t="s">
        <v>12</v>
      </c>
      <c r="E200" s="5" t="s">
        <v>13</v>
      </c>
      <c r="F200" s="7" t="s">
        <v>205</v>
      </c>
      <c r="G200" s="15" t="n">
        <v>2024</v>
      </c>
      <c r="H200" s="8" t="n">
        <v>20024</v>
      </c>
      <c r="I200" s="19" t="str">
        <f aca="false">CONCATENATE(B200, CHAR(10), D200, CHAR(10), "Tax ID: ", F200)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</row>
    <row r="201" customFormat="false" ht="49.25" hidden="false" customHeight="false" outlineLevel="0" collapsed="false">
      <c r="A201" s="10" t="s">
        <v>320</v>
      </c>
      <c r="B201" s="14" t="s">
        <v>101</v>
      </c>
      <c r="C201" s="14" t="s">
        <v>102</v>
      </c>
      <c r="D201" s="21" t="s">
        <v>103</v>
      </c>
      <c r="E201" s="10" t="s">
        <v>104</v>
      </c>
      <c r="F201" s="12" t="s">
        <v>105</v>
      </c>
      <c r="G201" s="12"/>
      <c r="H201" s="13"/>
      <c r="I201" s="19" t="str">
        <f aca="false">CONCATENATE(B201, CHAR(10), D201, CHAR(10), "Tax ID: ", F201)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</row>
    <row r="202" customFormat="false" ht="49.25" hidden="false" customHeight="false" outlineLevel="0" collapsed="false">
      <c r="A202" s="5" t="s">
        <v>321</v>
      </c>
      <c r="B202" s="9" t="s">
        <v>101</v>
      </c>
      <c r="C202" s="9" t="s">
        <v>102</v>
      </c>
      <c r="D202" s="18" t="s">
        <v>103</v>
      </c>
      <c r="E202" s="5" t="s">
        <v>104</v>
      </c>
      <c r="F202" s="7" t="s">
        <v>105</v>
      </c>
      <c r="G202" s="15" t="n">
        <v>7063</v>
      </c>
      <c r="H202" s="8" t="n">
        <v>70063</v>
      </c>
      <c r="I202" s="19" t="str">
        <f aca="false">CONCATENATE(B202, CHAR(10), D202, CHAR(10), "Tax ID: ", F202)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</row>
    <row r="203" customFormat="false" ht="49.25" hidden="false" customHeight="false" outlineLevel="0" collapsed="false">
      <c r="A203" s="10" t="s">
        <v>322</v>
      </c>
      <c r="B203" s="14" t="s">
        <v>101</v>
      </c>
      <c r="C203" s="14" t="s">
        <v>102</v>
      </c>
      <c r="D203" s="21" t="s">
        <v>103</v>
      </c>
      <c r="E203" s="10" t="s">
        <v>104</v>
      </c>
      <c r="F203" s="12" t="s">
        <v>105</v>
      </c>
      <c r="G203" s="17" t="n">
        <v>7055</v>
      </c>
      <c r="H203" s="13" t="n">
        <v>70055</v>
      </c>
      <c r="I203" s="19" t="str">
        <f aca="false">CONCATENATE(B203, CHAR(10), D203, CHAR(10), "Tax ID: ", F203)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</row>
    <row r="204" customFormat="false" ht="49.25" hidden="false" customHeight="false" outlineLevel="0" collapsed="false">
      <c r="A204" s="5" t="s">
        <v>323</v>
      </c>
      <c r="B204" s="5" t="s">
        <v>10</v>
      </c>
      <c r="C204" s="5" t="s">
        <v>11</v>
      </c>
      <c r="D204" s="6" t="s">
        <v>12</v>
      </c>
      <c r="E204" s="5" t="s">
        <v>13</v>
      </c>
      <c r="F204" s="7" t="s">
        <v>14</v>
      </c>
      <c r="G204" s="7"/>
      <c r="H204" s="8"/>
      <c r="I204" s="9" t="str">
        <f aca="false">CONCATENATE(B204, CHAR(10), D204, CHAR(10), "Tax ID: ", F204)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205" customFormat="false" ht="49.25" hidden="false" customHeight="false" outlineLevel="0" collapsed="false">
      <c r="A205" s="10" t="s">
        <v>324</v>
      </c>
      <c r="B205" s="14" t="s">
        <v>101</v>
      </c>
      <c r="C205" s="14" t="s">
        <v>102</v>
      </c>
      <c r="D205" s="21" t="s">
        <v>103</v>
      </c>
      <c r="E205" s="10" t="s">
        <v>104</v>
      </c>
      <c r="F205" s="12" t="s">
        <v>105</v>
      </c>
      <c r="G205" s="17" t="n">
        <v>7042</v>
      </c>
      <c r="H205" s="13" t="n">
        <v>70042</v>
      </c>
      <c r="I205" s="19" t="str">
        <f aca="false">CONCATENATE(B205, CHAR(10), D205, CHAR(10), "Tax ID: ", F205)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</row>
    <row r="206" customFormat="false" ht="49.25" hidden="false" customHeight="false" outlineLevel="0" collapsed="false">
      <c r="A206" s="5" t="s">
        <v>325</v>
      </c>
      <c r="B206" s="9" t="s">
        <v>101</v>
      </c>
      <c r="C206" s="9" t="s">
        <v>102</v>
      </c>
      <c r="D206" s="18" t="s">
        <v>103</v>
      </c>
      <c r="E206" s="5" t="s">
        <v>104</v>
      </c>
      <c r="F206" s="7" t="s">
        <v>105</v>
      </c>
      <c r="G206" s="15" t="n">
        <v>7053</v>
      </c>
      <c r="H206" s="8" t="n">
        <v>70053</v>
      </c>
      <c r="I206" s="19" t="str">
        <f aca="false">CONCATENATE(B206, CHAR(10), D206, CHAR(10), "Tax ID: ", F206)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</row>
    <row r="207" customFormat="false" ht="49.25" hidden="false" customHeight="false" outlineLevel="0" collapsed="false">
      <c r="A207" s="10" t="s">
        <v>326</v>
      </c>
      <c r="B207" s="14" t="s">
        <v>101</v>
      </c>
      <c r="C207" s="14" t="s">
        <v>102</v>
      </c>
      <c r="D207" s="21" t="s">
        <v>103</v>
      </c>
      <c r="E207" s="10" t="s">
        <v>104</v>
      </c>
      <c r="F207" s="12" t="s">
        <v>105</v>
      </c>
      <c r="G207" s="17" t="n">
        <v>7048</v>
      </c>
      <c r="H207" s="13" t="n">
        <v>70048</v>
      </c>
      <c r="I207" s="19" t="str">
        <f aca="false">CONCATENATE(B207, CHAR(10), D207, CHAR(10), "Tax ID: ", F207)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</row>
    <row r="208" customFormat="false" ht="49.25" hidden="false" customHeight="false" outlineLevel="0" collapsed="false">
      <c r="A208" s="5" t="s">
        <v>327</v>
      </c>
      <c r="B208" s="9" t="s">
        <v>101</v>
      </c>
      <c r="C208" s="9" t="s">
        <v>102</v>
      </c>
      <c r="D208" s="18" t="s">
        <v>103</v>
      </c>
      <c r="E208" s="5" t="s">
        <v>104</v>
      </c>
      <c r="F208" s="7" t="s">
        <v>105</v>
      </c>
      <c r="G208" s="15" t="n">
        <v>7072</v>
      </c>
      <c r="H208" s="8" t="n">
        <v>70072</v>
      </c>
      <c r="I208" s="19" t="str">
        <f aca="false">CONCATENATE(B208, CHAR(10), D208, CHAR(10), "Tax ID: ", F208)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</row>
    <row r="209" customFormat="false" ht="49.25" hidden="false" customHeight="false" outlineLevel="0" collapsed="false">
      <c r="A209" s="10" t="s">
        <v>328</v>
      </c>
      <c r="B209" s="14" t="s">
        <v>101</v>
      </c>
      <c r="C209" s="14" t="s">
        <v>102</v>
      </c>
      <c r="D209" s="21" t="s">
        <v>103</v>
      </c>
      <c r="E209" s="10" t="s">
        <v>104</v>
      </c>
      <c r="F209" s="12" t="s">
        <v>105</v>
      </c>
      <c r="G209" s="17" t="n">
        <v>7069</v>
      </c>
      <c r="H209" s="13" t="n">
        <v>70069</v>
      </c>
      <c r="I209" s="19" t="str">
        <f aca="false">CONCATENATE(B209, CHAR(10), D209, CHAR(10), "Tax ID: ", F209)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</row>
    <row r="210" customFormat="false" ht="49.25" hidden="false" customHeight="false" outlineLevel="0" collapsed="false">
      <c r="A210" s="5" t="s">
        <v>329</v>
      </c>
      <c r="B210" s="5" t="s">
        <v>203</v>
      </c>
      <c r="C210" s="5" t="s">
        <v>204</v>
      </c>
      <c r="D210" s="6" t="s">
        <v>12</v>
      </c>
      <c r="E210" s="5" t="s">
        <v>13</v>
      </c>
      <c r="F210" s="7" t="s">
        <v>205</v>
      </c>
      <c r="G210" s="15" t="n">
        <v>2021</v>
      </c>
      <c r="H210" s="8" t="n">
        <v>20021</v>
      </c>
      <c r="I210" s="9" t="str">
        <f aca="false">CONCATENATE(B210, CHAR(10), D210, CHAR(10), "Tax ID: ", F210)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211" customFormat="false" ht="49.25" hidden="false" customHeight="false" outlineLevel="0" collapsed="false">
      <c r="A211" s="10" t="s">
        <v>330</v>
      </c>
      <c r="B211" s="14" t="s">
        <v>101</v>
      </c>
      <c r="C211" s="14" t="s">
        <v>102</v>
      </c>
      <c r="D211" s="21" t="s">
        <v>103</v>
      </c>
      <c r="E211" s="10" t="s">
        <v>104</v>
      </c>
      <c r="F211" s="12" t="s">
        <v>105</v>
      </c>
      <c r="G211" s="17" t="n">
        <v>7067</v>
      </c>
      <c r="H211" s="24" t="n">
        <v>70067</v>
      </c>
      <c r="I211" s="19" t="str">
        <f aca="false">CONCATENATE(B211, CHAR(10), D211, CHAR(10), "Tax ID: ", F211)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</row>
    <row r="212" customFormat="false" ht="49.25" hidden="false" customHeight="false" outlineLevel="0" collapsed="false">
      <c r="A212" s="5" t="s">
        <v>331</v>
      </c>
      <c r="B212" s="5" t="s">
        <v>203</v>
      </c>
      <c r="C212" s="5" t="s">
        <v>204</v>
      </c>
      <c r="D212" s="6" t="s">
        <v>12</v>
      </c>
      <c r="E212" s="5" t="s">
        <v>13</v>
      </c>
      <c r="F212" s="7" t="s">
        <v>205</v>
      </c>
      <c r="G212" s="15" t="n">
        <v>2030</v>
      </c>
      <c r="H212" s="24" t="n">
        <v>20030</v>
      </c>
      <c r="I212" s="9" t="str">
        <f aca="false">CONCATENATE(B212, CHAR(10), D212, CHAR(10), "Tax ID: ", F212)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213" customFormat="false" ht="49.25" hidden="false" customHeight="false" outlineLevel="0" collapsed="false">
      <c r="A213" s="10" t="s">
        <v>332</v>
      </c>
      <c r="B213" s="10" t="s">
        <v>203</v>
      </c>
      <c r="C213" s="10" t="s">
        <v>204</v>
      </c>
      <c r="D213" s="11" t="s">
        <v>12</v>
      </c>
      <c r="E213" s="10" t="s">
        <v>13</v>
      </c>
      <c r="F213" s="12" t="s">
        <v>205</v>
      </c>
      <c r="G213" s="17" t="n">
        <v>2029</v>
      </c>
      <c r="H213" s="13" t="n">
        <v>20029</v>
      </c>
      <c r="I213" s="14" t="str">
        <f aca="false">CONCATENATE(B213, CHAR(10), D213, CHAR(10), "Tax ID: ", F213)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214" customFormat="false" ht="49.25" hidden="false" customHeight="false" outlineLevel="0" collapsed="false">
      <c r="A214" s="5" t="s">
        <v>333</v>
      </c>
      <c r="B214" s="5" t="s">
        <v>203</v>
      </c>
      <c r="C214" s="5" t="s">
        <v>204</v>
      </c>
      <c r="D214" s="6" t="s">
        <v>12</v>
      </c>
      <c r="E214" s="5" t="s">
        <v>13</v>
      </c>
      <c r="F214" s="7" t="s">
        <v>205</v>
      </c>
      <c r="G214" s="15" t="n">
        <v>2031</v>
      </c>
      <c r="H214" s="8" t="n">
        <v>20031</v>
      </c>
      <c r="I214" s="9" t="str">
        <f aca="false">CONCATENATE(B214, CHAR(10), D214, CHAR(10), "Tax ID: ", F214)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215" customFormat="false" ht="49.25" hidden="false" customHeight="false" outlineLevel="0" collapsed="false">
      <c r="A215" s="10" t="s">
        <v>334</v>
      </c>
      <c r="B215" s="10" t="s">
        <v>203</v>
      </c>
      <c r="C215" s="10" t="s">
        <v>204</v>
      </c>
      <c r="D215" s="11" t="s">
        <v>12</v>
      </c>
      <c r="E215" s="10" t="s">
        <v>13</v>
      </c>
      <c r="F215" s="12" t="s">
        <v>205</v>
      </c>
      <c r="G215" s="17" t="n">
        <v>2025</v>
      </c>
      <c r="H215" s="13" t="n">
        <v>20025</v>
      </c>
      <c r="I215" s="14" t="str">
        <f aca="false">CONCATENATE(B215, CHAR(10), D215, CHAR(10), "Tax ID: ", F215)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216" customFormat="false" ht="49.25" hidden="false" customHeight="false" outlineLevel="0" collapsed="false">
      <c r="A216" s="5" t="s">
        <v>335</v>
      </c>
      <c r="B216" s="5" t="s">
        <v>203</v>
      </c>
      <c r="C216" s="5" t="s">
        <v>204</v>
      </c>
      <c r="D216" s="6" t="s">
        <v>12</v>
      </c>
      <c r="E216" s="5" t="s">
        <v>13</v>
      </c>
      <c r="F216" s="7" t="s">
        <v>205</v>
      </c>
      <c r="G216" s="15" t="n">
        <v>2027</v>
      </c>
      <c r="H216" s="8" t="n">
        <v>20027</v>
      </c>
      <c r="I216" s="9" t="str">
        <f aca="false">CONCATENATE(B216, CHAR(10), D216, CHAR(10), "Tax ID: ", F216)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217" customFormat="false" ht="49.25" hidden="false" customHeight="false" outlineLevel="0" collapsed="false">
      <c r="A217" s="10" t="s">
        <v>336</v>
      </c>
      <c r="B217" s="10" t="s">
        <v>203</v>
      </c>
      <c r="C217" s="10" t="s">
        <v>204</v>
      </c>
      <c r="D217" s="11" t="s">
        <v>12</v>
      </c>
      <c r="E217" s="10" t="s">
        <v>13</v>
      </c>
      <c r="F217" s="12" t="s">
        <v>205</v>
      </c>
      <c r="G217" s="17" t="n">
        <v>2023</v>
      </c>
      <c r="H217" s="13" t="n">
        <v>20023</v>
      </c>
      <c r="I217" s="14" t="str">
        <f aca="false">CONCATENATE(B217, CHAR(10), D217, CHAR(10), "Tax ID: ", F217)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218" customFormat="false" ht="49.25" hidden="false" customHeight="false" outlineLevel="0" collapsed="false">
      <c r="A218" s="9" t="s">
        <v>337</v>
      </c>
      <c r="B218" s="5" t="s">
        <v>203</v>
      </c>
      <c r="C218" s="9" t="s">
        <v>204</v>
      </c>
      <c r="D218" s="6" t="s">
        <v>12</v>
      </c>
      <c r="E218" s="9" t="s">
        <v>13</v>
      </c>
      <c r="F218" s="7" t="s">
        <v>205</v>
      </c>
      <c r="G218" s="15" t="n">
        <v>2047</v>
      </c>
      <c r="H218" s="8" t="n">
        <v>20047</v>
      </c>
      <c r="I218" s="9" t="str">
        <f aca="false">CONCATENATE(B218, CHAR(10), D218, CHAR(10), "Tax ID: ", F218)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219" customFormat="false" ht="49.25" hidden="false" customHeight="false" outlineLevel="0" collapsed="false">
      <c r="A219" s="14" t="s">
        <v>338</v>
      </c>
      <c r="B219" s="14" t="s">
        <v>101</v>
      </c>
      <c r="C219" s="14" t="s">
        <v>102</v>
      </c>
      <c r="D219" s="21" t="s">
        <v>103</v>
      </c>
      <c r="E219" s="14" t="s">
        <v>104</v>
      </c>
      <c r="F219" s="12" t="s">
        <v>105</v>
      </c>
      <c r="G219" s="17" t="n">
        <v>7092</v>
      </c>
      <c r="H219" s="13" t="n">
        <v>70092</v>
      </c>
      <c r="I219" s="14" t="str">
        <f aca="false">CONCATENATE(B219, CHAR(10), D219, CHAR(10), "Tax ID: ", F219)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220" customFormat="false" ht="49.25" hidden="false" customHeight="false" outlineLevel="0" collapsed="false">
      <c r="A220" s="9" t="s">
        <v>339</v>
      </c>
      <c r="B220" s="5" t="s">
        <v>203</v>
      </c>
      <c r="C220" s="9" t="s">
        <v>204</v>
      </c>
      <c r="D220" s="6" t="s">
        <v>12</v>
      </c>
      <c r="E220" s="9" t="s">
        <v>13</v>
      </c>
      <c r="F220" s="7" t="s">
        <v>205</v>
      </c>
      <c r="G220" s="15" t="n">
        <v>2046</v>
      </c>
      <c r="H220" s="8" t="n">
        <v>20046</v>
      </c>
      <c r="I220" s="9" t="str">
        <f aca="false">CONCATENATE(B220, CHAR(10), D220, CHAR(10), "Tax ID: ", F220)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221" customFormat="false" ht="49.25" hidden="false" customHeight="false" outlineLevel="0" collapsed="false">
      <c r="A221" s="14" t="s">
        <v>340</v>
      </c>
      <c r="B221" s="10" t="s">
        <v>203</v>
      </c>
      <c r="C221" s="14" t="s">
        <v>204</v>
      </c>
      <c r="D221" s="11" t="s">
        <v>12</v>
      </c>
      <c r="E221" s="14" t="s">
        <v>13</v>
      </c>
      <c r="F221" s="12" t="s">
        <v>205</v>
      </c>
      <c r="G221" s="17" t="n">
        <v>2049</v>
      </c>
      <c r="H221" s="13" t="n">
        <v>20049</v>
      </c>
      <c r="I221" s="14" t="str">
        <f aca="false">CONCATENATE(B221, CHAR(10), D221, CHAR(10), "Tax ID: ", F221)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222" customFormat="false" ht="49.25" hidden="false" customHeight="false" outlineLevel="0" collapsed="false">
      <c r="A222" s="9" t="s">
        <v>341</v>
      </c>
      <c r="B222" s="9" t="s">
        <v>101</v>
      </c>
      <c r="C222" s="9" t="s">
        <v>102</v>
      </c>
      <c r="D222" s="18" t="s">
        <v>103</v>
      </c>
      <c r="E222" s="5" t="s">
        <v>104</v>
      </c>
      <c r="F222" s="7" t="s">
        <v>105</v>
      </c>
      <c r="G222" s="7"/>
      <c r="H222" s="8"/>
      <c r="I222" s="19" t="str">
        <f aca="false">CONCATENATE(B222, CHAR(10), D222, CHAR(10), "Tax ID: ", F222)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</row>
    <row r="223" customFormat="false" ht="49.25" hidden="false" customHeight="false" outlineLevel="0" collapsed="false">
      <c r="A223" s="14" t="s">
        <v>342</v>
      </c>
      <c r="B223" s="10" t="s">
        <v>203</v>
      </c>
      <c r="C223" s="10" t="s">
        <v>204</v>
      </c>
      <c r="D223" s="11" t="s">
        <v>12</v>
      </c>
      <c r="E223" s="10" t="s">
        <v>13</v>
      </c>
      <c r="F223" s="12" t="s">
        <v>205</v>
      </c>
      <c r="G223" s="17" t="n">
        <v>2026</v>
      </c>
      <c r="H223" s="13" t="n">
        <v>20026</v>
      </c>
      <c r="I223" s="14" t="str">
        <f aca="false">CONCATENATE(B223, CHAR(10), D223, CHAR(10), "Tax ID: ", F223)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224" customFormat="false" ht="49.25" hidden="false" customHeight="false" outlineLevel="0" collapsed="false">
      <c r="A224" s="9" t="s">
        <v>343</v>
      </c>
      <c r="B224" s="5" t="s">
        <v>132</v>
      </c>
      <c r="C224" s="5" t="s">
        <v>133</v>
      </c>
      <c r="D224" s="6" t="s">
        <v>12</v>
      </c>
      <c r="E224" s="5" t="s">
        <v>13</v>
      </c>
      <c r="F224" s="7" t="s">
        <v>134</v>
      </c>
      <c r="G224" s="7"/>
      <c r="H224" s="8"/>
      <c r="I224" s="9" t="str">
        <f aca="false">CONCATENATE(B224, CHAR(10), D224, CHAR(10), "Tax ID: ", F224)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25" customFormat="false" ht="49.25" hidden="false" customHeight="false" outlineLevel="0" collapsed="false">
      <c r="A225" s="14" t="s">
        <v>344</v>
      </c>
      <c r="B225" s="10" t="s">
        <v>132</v>
      </c>
      <c r="C225" s="10" t="s">
        <v>133</v>
      </c>
      <c r="D225" s="11" t="s">
        <v>12</v>
      </c>
      <c r="E225" s="10" t="s">
        <v>13</v>
      </c>
      <c r="F225" s="12" t="s">
        <v>134</v>
      </c>
      <c r="G225" s="12"/>
      <c r="H225" s="13"/>
      <c r="I225" s="14" t="str">
        <f aca="false">CONCATENATE(B225, CHAR(10), D225, CHAR(10), "Tax ID: ", F225)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26" customFormat="false" ht="49.25" hidden="false" customHeight="false" outlineLevel="0" collapsed="false">
      <c r="A226" s="9" t="s">
        <v>345</v>
      </c>
      <c r="B226" s="5" t="s">
        <v>132</v>
      </c>
      <c r="C226" s="9" t="s">
        <v>133</v>
      </c>
      <c r="D226" s="6" t="s">
        <v>12</v>
      </c>
      <c r="E226" s="9" t="s">
        <v>13</v>
      </c>
      <c r="F226" s="7" t="s">
        <v>134</v>
      </c>
      <c r="G226" s="7"/>
      <c r="H226" s="8"/>
      <c r="I226" s="9" t="str">
        <f aca="false">CONCATENATE(B226, CHAR(10), D226, CHAR(10), "Tax ID: ", F226)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27" customFormat="false" ht="49.25" hidden="false" customHeight="false" outlineLevel="0" collapsed="false">
      <c r="A227" s="14" t="s">
        <v>346</v>
      </c>
      <c r="B227" s="10" t="s">
        <v>132</v>
      </c>
      <c r="C227" s="10" t="s">
        <v>133</v>
      </c>
      <c r="D227" s="11" t="s">
        <v>12</v>
      </c>
      <c r="E227" s="10" t="s">
        <v>13</v>
      </c>
      <c r="F227" s="12" t="s">
        <v>134</v>
      </c>
      <c r="G227" s="12"/>
      <c r="H227" s="13"/>
      <c r="I227" s="14" t="str">
        <f aca="false">CONCATENATE(B227, CHAR(10), D227, CHAR(10), "Tax ID: ", F227)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28" customFormat="false" ht="49.25" hidden="false" customHeight="false" outlineLevel="0" collapsed="false">
      <c r="A228" s="9" t="s">
        <v>347</v>
      </c>
      <c r="B228" s="5" t="s">
        <v>132</v>
      </c>
      <c r="C228" s="5" t="s">
        <v>133</v>
      </c>
      <c r="D228" s="6" t="s">
        <v>12</v>
      </c>
      <c r="E228" s="5" t="s">
        <v>13</v>
      </c>
      <c r="F228" s="7" t="s">
        <v>134</v>
      </c>
      <c r="G228" s="7"/>
      <c r="H228" s="8"/>
      <c r="I228" s="9" t="str">
        <f aca="false">CONCATENATE(B228, CHAR(10), D228, CHAR(10), "Tax ID: ", F228)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29" customFormat="false" ht="49.25" hidden="false" customHeight="false" outlineLevel="0" collapsed="false">
      <c r="A229" s="14" t="s">
        <v>348</v>
      </c>
      <c r="B229" s="10" t="s">
        <v>132</v>
      </c>
      <c r="C229" s="10" t="s">
        <v>133</v>
      </c>
      <c r="D229" s="11" t="s">
        <v>12</v>
      </c>
      <c r="E229" s="10" t="s">
        <v>13</v>
      </c>
      <c r="F229" s="12" t="s">
        <v>134</v>
      </c>
      <c r="G229" s="12"/>
      <c r="H229" s="13"/>
      <c r="I229" s="14" t="str">
        <f aca="false">CONCATENATE(B229, CHAR(10), D229, CHAR(10), "Tax ID: ", F229)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30" customFormat="false" ht="49.25" hidden="false" customHeight="false" outlineLevel="0" collapsed="false">
      <c r="A230" s="9" t="s">
        <v>349</v>
      </c>
      <c r="B230" s="5" t="s">
        <v>132</v>
      </c>
      <c r="C230" s="5" t="s">
        <v>133</v>
      </c>
      <c r="D230" s="6" t="s">
        <v>12</v>
      </c>
      <c r="E230" s="5" t="s">
        <v>13</v>
      </c>
      <c r="F230" s="7" t="s">
        <v>134</v>
      </c>
      <c r="G230" s="15" t="n">
        <v>4031</v>
      </c>
      <c r="H230" s="8" t="n">
        <v>40031</v>
      </c>
      <c r="I230" s="9" t="str">
        <f aca="false">CONCATENATE(B230, CHAR(10), D230, CHAR(10), "Tax ID: ", F230)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31" customFormat="false" ht="49.25" hidden="false" customHeight="false" outlineLevel="0" collapsed="false">
      <c r="A231" s="14" t="s">
        <v>350</v>
      </c>
      <c r="B231" s="10" t="s">
        <v>203</v>
      </c>
      <c r="C231" s="14" t="s">
        <v>204</v>
      </c>
      <c r="D231" s="11" t="s">
        <v>12</v>
      </c>
      <c r="E231" s="14" t="s">
        <v>13</v>
      </c>
      <c r="F231" s="12" t="s">
        <v>205</v>
      </c>
      <c r="G231" s="17" t="n">
        <v>2039</v>
      </c>
      <c r="H231" s="13" t="n">
        <v>20039</v>
      </c>
      <c r="I231" s="14" t="str">
        <f aca="false">CONCATENATE(B231, CHAR(10), D231, CHAR(10), "Tax ID: ", F231)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232" customFormat="false" ht="49.25" hidden="false" customHeight="false" outlineLevel="0" collapsed="false">
      <c r="A232" s="9" t="s">
        <v>351</v>
      </c>
      <c r="B232" s="5" t="s">
        <v>132</v>
      </c>
      <c r="C232" s="9" t="s">
        <v>133</v>
      </c>
      <c r="D232" s="6" t="s">
        <v>12</v>
      </c>
      <c r="E232" s="25" t="n">
        <v>105553079178</v>
      </c>
      <c r="F232" s="7" t="s">
        <v>134</v>
      </c>
      <c r="G232" s="7"/>
      <c r="H232" s="8"/>
      <c r="I232" s="9" t="str">
        <f aca="false">CONCATENATE(B232, CHAR(10), D232, CHAR(10), "Tax ID: ", F232)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33" customFormat="false" ht="49.25" hidden="false" customHeight="false" outlineLevel="0" collapsed="false">
      <c r="A233" s="14" t="s">
        <v>352</v>
      </c>
      <c r="B233" s="10" t="s">
        <v>203</v>
      </c>
      <c r="C233" s="14" t="s">
        <v>204</v>
      </c>
      <c r="D233" s="11" t="s">
        <v>12</v>
      </c>
      <c r="E233" s="14" t="s">
        <v>13</v>
      </c>
      <c r="F233" s="12" t="s">
        <v>205</v>
      </c>
      <c r="G233" s="12"/>
      <c r="H233" s="13"/>
      <c r="I233" s="14" t="str">
        <f aca="false">CONCATENATE(B233, CHAR(10), D233, CHAR(10), "Tax ID: ", F233)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234" customFormat="false" ht="49.25" hidden="false" customHeight="false" outlineLevel="0" collapsed="false">
      <c r="A234" s="9" t="s">
        <v>353</v>
      </c>
      <c r="B234" s="9" t="s">
        <v>10</v>
      </c>
      <c r="C234" s="9" t="s">
        <v>11</v>
      </c>
      <c r="D234" s="18" t="s">
        <v>12</v>
      </c>
      <c r="E234" s="9" t="s">
        <v>13</v>
      </c>
      <c r="F234" s="7" t="s">
        <v>14</v>
      </c>
      <c r="G234" s="7"/>
      <c r="H234" s="8"/>
      <c r="I234" s="9" t="str">
        <f aca="false">CONCATENATE(B234, CHAR(10), D234, CHAR(10), "Tax ID: ", F234)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235" customFormat="false" ht="49.25" hidden="false" customHeight="false" outlineLevel="0" collapsed="false">
      <c r="A235" s="14" t="s">
        <v>354</v>
      </c>
      <c r="B235" s="10" t="s">
        <v>203</v>
      </c>
      <c r="C235" s="14" t="s">
        <v>204</v>
      </c>
      <c r="D235" s="11" t="s">
        <v>12</v>
      </c>
      <c r="E235" s="14" t="s">
        <v>13</v>
      </c>
      <c r="F235" s="12" t="s">
        <v>205</v>
      </c>
      <c r="G235" s="12"/>
      <c r="H235" s="13"/>
      <c r="I235" s="14" t="str">
        <f aca="false">CONCATENATE(B235, CHAR(10), D235, CHAR(10), "Tax ID: ", F235)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236" customFormat="false" ht="49.25" hidden="false" customHeight="false" outlineLevel="0" collapsed="false">
      <c r="A236" s="9" t="s">
        <v>355</v>
      </c>
      <c r="B236" s="5" t="s">
        <v>132</v>
      </c>
      <c r="C236" s="9" t="s">
        <v>133</v>
      </c>
      <c r="D236" s="6" t="s">
        <v>12</v>
      </c>
      <c r="E236" s="25" t="n">
        <v>105553079178</v>
      </c>
      <c r="F236" s="7" t="s">
        <v>134</v>
      </c>
      <c r="G236" s="15" t="n">
        <v>4065</v>
      </c>
      <c r="H236" s="8" t="n">
        <v>40065</v>
      </c>
      <c r="I236" s="9" t="str">
        <f aca="false">CONCATENATE(B236, CHAR(10), D236, CHAR(10), "Tax ID: ", F236)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37" customFormat="false" ht="49.25" hidden="false" customHeight="false" outlineLevel="0" collapsed="false">
      <c r="A237" s="14" t="s">
        <v>356</v>
      </c>
      <c r="B237" s="14" t="s">
        <v>101</v>
      </c>
      <c r="C237" s="14" t="s">
        <v>102</v>
      </c>
      <c r="D237" s="21" t="s">
        <v>103</v>
      </c>
      <c r="E237" s="14" t="s">
        <v>104</v>
      </c>
      <c r="F237" s="12" t="s">
        <v>105</v>
      </c>
      <c r="G237" s="12"/>
      <c r="H237" s="13"/>
      <c r="I237" s="14" t="str">
        <f aca="false">CONCATENATE(B237, CHAR(10), D237, CHAR(10), "Tax ID: ", F237)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238" customFormat="false" ht="49.25" hidden="false" customHeight="false" outlineLevel="0" collapsed="false">
      <c r="A238" s="9" t="s">
        <v>357</v>
      </c>
      <c r="B238" s="5" t="s">
        <v>132</v>
      </c>
      <c r="C238" s="9" t="s">
        <v>133</v>
      </c>
      <c r="D238" s="6" t="s">
        <v>12</v>
      </c>
      <c r="E238" s="25" t="n">
        <v>105553079178</v>
      </c>
      <c r="F238" s="7" t="s">
        <v>134</v>
      </c>
      <c r="G238" s="15" t="n">
        <v>4062</v>
      </c>
      <c r="H238" s="8" t="n">
        <v>40062</v>
      </c>
      <c r="I238" s="9" t="str">
        <f aca="false">CONCATENATE(B238, CHAR(10), D238, CHAR(10), "Tax ID: ", F238)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39" customFormat="false" ht="49.25" hidden="false" customHeight="false" outlineLevel="0" collapsed="false">
      <c r="A239" s="14" t="s">
        <v>358</v>
      </c>
      <c r="B239" s="10" t="s">
        <v>132</v>
      </c>
      <c r="C239" s="14" t="s">
        <v>133</v>
      </c>
      <c r="D239" s="11" t="s">
        <v>12</v>
      </c>
      <c r="E239" s="26" t="n">
        <v>105553079178</v>
      </c>
      <c r="F239" s="12" t="s">
        <v>134</v>
      </c>
      <c r="G239" s="17" t="n">
        <v>4064</v>
      </c>
      <c r="H239" s="13" t="n">
        <v>40064</v>
      </c>
      <c r="I239" s="14" t="str">
        <f aca="false">CONCATENATE(B239, CHAR(10), D239, CHAR(10), "Tax ID: ", F239)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40" customFormat="false" ht="49.25" hidden="false" customHeight="false" outlineLevel="0" collapsed="false">
      <c r="A240" s="9" t="s">
        <v>359</v>
      </c>
      <c r="B240" s="9" t="s">
        <v>360</v>
      </c>
      <c r="C240" s="9" t="s">
        <v>361</v>
      </c>
      <c r="D240" s="6" t="s">
        <v>12</v>
      </c>
      <c r="E240" s="9" t="s">
        <v>13</v>
      </c>
      <c r="F240" s="27" t="s">
        <v>362</v>
      </c>
      <c r="G240" s="15" t="s">
        <v>363</v>
      </c>
      <c r="H240" s="8" t="s">
        <v>364</v>
      </c>
      <c r="I240" s="9" t="str">
        <f aca="false">CONCATENATE(B240, CHAR(10), D240, CHAR(10), "Tax ID: ", F240)</f>
        <v>บริษัท เอพี เอ็มอี 12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0105561049452</v>
      </c>
    </row>
    <row r="241" customFormat="false" ht="49.25" hidden="false" customHeight="false" outlineLevel="0" collapsed="false">
      <c r="A241" s="14" t="s">
        <v>365</v>
      </c>
      <c r="B241" s="14" t="s">
        <v>101</v>
      </c>
      <c r="C241" s="14" t="s">
        <v>102</v>
      </c>
      <c r="D241" s="21" t="s">
        <v>103</v>
      </c>
      <c r="E241" s="14" t="s">
        <v>104</v>
      </c>
      <c r="F241" s="12" t="s">
        <v>105</v>
      </c>
      <c r="G241" s="12"/>
      <c r="H241" s="13"/>
      <c r="I241" s="14" t="str">
        <f aca="false">CONCATENATE(B241, CHAR(10), D241, CHAR(10), "Tax ID: ", F241)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242" customFormat="false" ht="49.25" hidden="false" customHeight="false" outlineLevel="0" collapsed="false">
      <c r="A242" s="9" t="s">
        <v>366</v>
      </c>
      <c r="B242" s="9" t="s">
        <v>101</v>
      </c>
      <c r="C242" s="9" t="s">
        <v>102</v>
      </c>
      <c r="D242" s="18" t="s">
        <v>103</v>
      </c>
      <c r="E242" s="9" t="s">
        <v>104</v>
      </c>
      <c r="F242" s="7" t="s">
        <v>105</v>
      </c>
      <c r="G242" s="15" t="n">
        <v>7009</v>
      </c>
      <c r="H242" s="8" t="n">
        <v>70009</v>
      </c>
      <c r="I242" s="9" t="str">
        <f aca="false">CONCATENATE(B242, CHAR(10), D242, CHAR(10), "Tax ID: ", F242)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243" customFormat="false" ht="49.25" hidden="false" customHeight="false" outlineLevel="0" collapsed="false">
      <c r="A243" s="14" t="s">
        <v>367</v>
      </c>
      <c r="B243" s="14" t="s">
        <v>101</v>
      </c>
      <c r="C243" s="14" t="s">
        <v>102</v>
      </c>
      <c r="D243" s="21" t="s">
        <v>103</v>
      </c>
      <c r="E243" s="14" t="s">
        <v>104</v>
      </c>
      <c r="F243" s="12" t="s">
        <v>105</v>
      </c>
      <c r="G243" s="17" t="s">
        <v>368</v>
      </c>
      <c r="H243" s="13" t="n">
        <v>70079</v>
      </c>
      <c r="I243" s="14" t="str">
        <f aca="false">CONCATENATE(B243, CHAR(10), D243, CHAR(10), "Tax ID: ", F243)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244" customFormat="false" ht="49.25" hidden="false" customHeight="false" outlineLevel="0" collapsed="false">
      <c r="A244" s="9" t="s">
        <v>369</v>
      </c>
      <c r="B244" s="9" t="s">
        <v>101</v>
      </c>
      <c r="C244" s="9" t="s">
        <v>102</v>
      </c>
      <c r="D244" s="18" t="s">
        <v>103</v>
      </c>
      <c r="E244" s="9" t="s">
        <v>104</v>
      </c>
      <c r="F244" s="7" t="s">
        <v>105</v>
      </c>
      <c r="G244" s="15" t="s">
        <v>370</v>
      </c>
      <c r="H244" s="8" t="n">
        <v>70076</v>
      </c>
      <c r="I244" s="9" t="str">
        <f aca="false">CONCATENATE(B244, CHAR(10), D244, CHAR(10), "Tax ID: ", F244)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245" customFormat="false" ht="49.25" hidden="false" customHeight="false" outlineLevel="0" collapsed="false">
      <c r="A245" s="14" t="s">
        <v>371</v>
      </c>
      <c r="B245" s="10" t="s">
        <v>132</v>
      </c>
      <c r="C245" s="14" t="s">
        <v>133</v>
      </c>
      <c r="D245" s="11" t="s">
        <v>12</v>
      </c>
      <c r="E245" s="14" t="s">
        <v>13</v>
      </c>
      <c r="F245" s="12" t="s">
        <v>134</v>
      </c>
      <c r="G245" s="17" t="n">
        <v>4070</v>
      </c>
      <c r="H245" s="13" t="n">
        <v>40070</v>
      </c>
      <c r="I245" s="14" t="str">
        <f aca="false">CONCATENATE(B245, CHAR(10), D245, CHAR(10), "Tax ID: ", F245)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46" customFormat="false" ht="49.25" hidden="false" customHeight="false" outlineLevel="0" collapsed="false">
      <c r="A246" s="9" t="s">
        <v>372</v>
      </c>
      <c r="B246" s="5" t="s">
        <v>132</v>
      </c>
      <c r="C246" s="9" t="s">
        <v>133</v>
      </c>
      <c r="D246" s="6" t="s">
        <v>12</v>
      </c>
      <c r="E246" s="9" t="s">
        <v>13</v>
      </c>
      <c r="F246" s="7" t="s">
        <v>134</v>
      </c>
      <c r="G246" s="15" t="n">
        <v>4066</v>
      </c>
      <c r="H246" s="8" t="n">
        <v>40066</v>
      </c>
      <c r="I246" s="9" t="str">
        <f aca="false">CONCATENATE(B246, CHAR(10), D246, CHAR(10), "Tax ID: ", F246)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47" customFormat="false" ht="49.25" hidden="false" customHeight="false" outlineLevel="0" collapsed="false">
      <c r="A247" s="14" t="s">
        <v>373</v>
      </c>
      <c r="B247" s="14" t="s">
        <v>374</v>
      </c>
      <c r="C247" s="14"/>
      <c r="D247" s="21" t="s">
        <v>375</v>
      </c>
      <c r="E247" s="14"/>
      <c r="F247" s="12" t="s">
        <v>376</v>
      </c>
      <c r="G247" s="17" t="s">
        <v>377</v>
      </c>
      <c r="H247" s="13" t="s">
        <v>378</v>
      </c>
      <c r="I247" s="14" t="str">
        <f aca="false">CONCATENATE(B247, CHAR(10), D247, CHAR(10), "Tax ID: ", F247)</f>
        <v>บริษัท เอเชี่ยน พร็อพเพอร์ตี้ (2024) จำกัด (สำนักงานใหญ่)
170/57 อาคารโอเชี่ยนทาวเวอร์ 1 ชั้นที่ 18 ซอยสุขุมวิท 16 (สามมิตร) 
ถนนรัชดาภิเษกตัดใหม่ แขวงคลองเตย เขตคลองเตย กรุงเทพมหานคร 10110
Tax ID: 0105559106240</v>
      </c>
    </row>
    <row r="248" customFormat="false" ht="49.25" hidden="false" customHeight="false" outlineLevel="0" collapsed="false">
      <c r="A248" s="9" t="s">
        <v>379</v>
      </c>
      <c r="B248" s="5" t="s">
        <v>132</v>
      </c>
      <c r="C248" s="9" t="s">
        <v>133</v>
      </c>
      <c r="D248" s="6" t="s">
        <v>12</v>
      </c>
      <c r="E248" s="9" t="s">
        <v>13</v>
      </c>
      <c r="F248" s="7" t="s">
        <v>134</v>
      </c>
      <c r="G248" s="15" t="n">
        <v>4046</v>
      </c>
      <c r="H248" s="8" t="n">
        <v>40048</v>
      </c>
      <c r="I248" s="9" t="str">
        <f aca="false">CONCATENATE(B248, CHAR(10), D248, CHAR(10), "Tax ID: ", F248)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49" customFormat="false" ht="49.25" hidden="false" customHeight="false" outlineLevel="0" collapsed="false">
      <c r="A249" s="14" t="s">
        <v>380</v>
      </c>
      <c r="B249" s="10" t="s">
        <v>132</v>
      </c>
      <c r="C249" s="14" t="s">
        <v>133</v>
      </c>
      <c r="D249" s="11" t="s">
        <v>12</v>
      </c>
      <c r="E249" s="14" t="s">
        <v>13</v>
      </c>
      <c r="F249" s="12" t="s">
        <v>134</v>
      </c>
      <c r="G249" s="17" t="n">
        <v>4049</v>
      </c>
      <c r="H249" s="13" t="n">
        <v>40049</v>
      </c>
      <c r="I249" s="14" t="str">
        <f aca="false">CONCATENATE(B249, CHAR(10), D249, CHAR(10), "Tax ID: ", F249)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50" customFormat="false" ht="49.25" hidden="false" customHeight="false" outlineLevel="0" collapsed="false">
      <c r="A250" s="9" t="s">
        <v>381</v>
      </c>
      <c r="B250" s="5" t="s">
        <v>203</v>
      </c>
      <c r="C250" s="9" t="s">
        <v>204</v>
      </c>
      <c r="D250" s="6" t="s">
        <v>12</v>
      </c>
      <c r="E250" s="9" t="s">
        <v>13</v>
      </c>
      <c r="F250" s="7" t="s">
        <v>205</v>
      </c>
      <c r="G250" s="15" t="n">
        <v>2013</v>
      </c>
      <c r="H250" s="8" t="n">
        <v>20013</v>
      </c>
      <c r="I250" s="9" t="str">
        <f aca="false">CONCATENATE(B250, CHAR(10), D250, CHAR(10), "Tax ID: ", F250)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251" customFormat="false" ht="49.25" hidden="false" customHeight="false" outlineLevel="0" collapsed="false">
      <c r="A251" s="14" t="s">
        <v>382</v>
      </c>
      <c r="B251" s="10" t="s">
        <v>203</v>
      </c>
      <c r="C251" s="14" t="s">
        <v>204</v>
      </c>
      <c r="D251" s="11" t="s">
        <v>12</v>
      </c>
      <c r="E251" s="14" t="s">
        <v>13</v>
      </c>
      <c r="F251" s="12" t="s">
        <v>205</v>
      </c>
      <c r="G251" s="17" t="n">
        <v>2014</v>
      </c>
      <c r="H251" s="13" t="n">
        <v>20014</v>
      </c>
      <c r="I251" s="14" t="str">
        <f aca="false">CONCATENATE(B251, CHAR(10), D251, CHAR(10), "Tax ID: ", F251)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252" customFormat="false" ht="49.25" hidden="false" customHeight="false" outlineLevel="0" collapsed="false">
      <c r="A252" s="9" t="s">
        <v>383</v>
      </c>
      <c r="B252" s="9" t="s">
        <v>101</v>
      </c>
      <c r="C252" s="9" t="s">
        <v>102</v>
      </c>
      <c r="D252" s="18" t="s">
        <v>103</v>
      </c>
      <c r="E252" s="9" t="s">
        <v>104</v>
      </c>
      <c r="F252" s="7" t="s">
        <v>105</v>
      </c>
      <c r="G252" s="15" t="n">
        <v>7075</v>
      </c>
      <c r="H252" s="8" t="n">
        <v>70075</v>
      </c>
      <c r="I252" s="9" t="str">
        <f aca="false">CONCATENATE(B252, CHAR(10), D252, CHAR(10), "Tax ID: ", F252)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253" customFormat="false" ht="49.25" hidden="false" customHeight="false" outlineLevel="0" collapsed="false">
      <c r="A253" s="14" t="s">
        <v>384</v>
      </c>
      <c r="B253" s="10" t="s">
        <v>132</v>
      </c>
      <c r="C253" s="14" t="s">
        <v>133</v>
      </c>
      <c r="D253" s="11" t="s">
        <v>12</v>
      </c>
      <c r="E253" s="14" t="s">
        <v>13</v>
      </c>
      <c r="F253" s="12" t="s">
        <v>134</v>
      </c>
      <c r="G253" s="17" t="n">
        <v>4067</v>
      </c>
      <c r="H253" s="13" t="n">
        <v>40067</v>
      </c>
      <c r="I253" s="14" t="str">
        <f aca="false">CONCATENATE(B253, CHAR(10), D253, CHAR(10), "Tax ID: ", F253)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54" customFormat="false" ht="49.25" hidden="false" customHeight="false" outlineLevel="0" collapsed="false">
      <c r="A254" s="9" t="s">
        <v>385</v>
      </c>
      <c r="B254" s="5" t="s">
        <v>132</v>
      </c>
      <c r="C254" s="5" t="s">
        <v>133</v>
      </c>
      <c r="D254" s="6" t="s">
        <v>12</v>
      </c>
      <c r="E254" s="9" t="s">
        <v>13</v>
      </c>
      <c r="F254" s="7" t="s">
        <v>134</v>
      </c>
      <c r="G254" s="15" t="n">
        <v>4071</v>
      </c>
      <c r="H254" s="8" t="n">
        <v>40071</v>
      </c>
      <c r="I254" s="9" t="str">
        <f aca="false">CONCATENATE(B254, CHAR(10), D254, CHAR(10), "Tax ID: ", F254)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55" customFormat="false" ht="49.25" hidden="false" customHeight="false" outlineLevel="0" collapsed="false">
      <c r="A255" s="14" t="s">
        <v>386</v>
      </c>
      <c r="B255" s="10" t="s">
        <v>132</v>
      </c>
      <c r="C255" s="14" t="s">
        <v>133</v>
      </c>
      <c r="D255" s="11" t="s">
        <v>12</v>
      </c>
      <c r="E255" s="14" t="s">
        <v>13</v>
      </c>
      <c r="F255" s="12" t="s">
        <v>134</v>
      </c>
      <c r="G255" s="17" t="n">
        <v>4068</v>
      </c>
      <c r="H255" s="13" t="n">
        <v>40068</v>
      </c>
      <c r="I255" s="14" t="str">
        <f aca="false">CONCATENATE(B255, CHAR(10), D255, CHAR(10), "Tax ID: ", F255)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56" customFormat="false" ht="49.25" hidden="false" customHeight="false" outlineLevel="0" collapsed="false">
      <c r="A256" s="9" t="s">
        <v>387</v>
      </c>
      <c r="B256" s="5" t="s">
        <v>203</v>
      </c>
      <c r="C256" s="9" t="s">
        <v>204</v>
      </c>
      <c r="D256" s="6" t="s">
        <v>12</v>
      </c>
      <c r="E256" s="9" t="s">
        <v>13</v>
      </c>
      <c r="F256" s="7" t="s">
        <v>205</v>
      </c>
      <c r="G256" s="15" t="n">
        <v>2040</v>
      </c>
      <c r="H256" s="8" t="n">
        <v>20040</v>
      </c>
      <c r="I256" s="9" t="str">
        <f aca="false">CONCATENATE(B256, CHAR(10), D256, CHAR(10), "Tax ID: ", F256)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257" customFormat="false" ht="49.25" hidden="false" customHeight="false" outlineLevel="0" collapsed="false">
      <c r="A257" s="14" t="s">
        <v>388</v>
      </c>
      <c r="B257" s="10" t="s">
        <v>203</v>
      </c>
      <c r="C257" s="14" t="s">
        <v>389</v>
      </c>
      <c r="D257" s="11" t="s">
        <v>12</v>
      </c>
      <c r="E257" s="14" t="s">
        <v>390</v>
      </c>
      <c r="F257" s="12" t="s">
        <v>205</v>
      </c>
      <c r="G257" s="17" t="n">
        <v>2042</v>
      </c>
      <c r="H257" s="13" t="n">
        <v>20042</v>
      </c>
      <c r="I257" s="14" t="str">
        <f aca="false">CONCATENATE(B257, CHAR(10), D257, CHAR(10), "Tax ID: ", F257)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258" customFormat="false" ht="49.25" hidden="false" customHeight="false" outlineLevel="0" collapsed="false">
      <c r="A258" s="9" t="s">
        <v>391</v>
      </c>
      <c r="B258" s="9" t="s">
        <v>101</v>
      </c>
      <c r="C258" s="9" t="s">
        <v>102</v>
      </c>
      <c r="D258" s="18" t="s">
        <v>103</v>
      </c>
      <c r="E258" s="9" t="s">
        <v>392</v>
      </c>
      <c r="F258" s="7" t="s">
        <v>105</v>
      </c>
      <c r="G258" s="15" t="n">
        <v>7082</v>
      </c>
      <c r="H258" s="8" t="n">
        <v>70082</v>
      </c>
      <c r="I258" s="9" t="str">
        <f aca="false">CONCATENATE(B258, CHAR(10), D258, CHAR(10), "Tax ID: ", F258)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259" customFormat="false" ht="49.25" hidden="false" customHeight="false" outlineLevel="0" collapsed="false">
      <c r="A259" s="14" t="s">
        <v>393</v>
      </c>
      <c r="B259" s="10" t="s">
        <v>132</v>
      </c>
      <c r="C259" s="14"/>
      <c r="D259" s="11" t="s">
        <v>12</v>
      </c>
      <c r="E259" s="14" t="s">
        <v>13</v>
      </c>
      <c r="F259" s="12" t="s">
        <v>134</v>
      </c>
      <c r="G259" s="17" t="n">
        <v>4072</v>
      </c>
      <c r="H259" s="13" t="n">
        <v>40072</v>
      </c>
      <c r="I259" s="14" t="str">
        <f aca="false">CONCATENATE(B259, CHAR(10), D259, CHAR(10), "Tax ID: ", F259)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60" customFormat="false" ht="49.25" hidden="false" customHeight="false" outlineLevel="0" collapsed="false">
      <c r="A260" s="9" t="s">
        <v>394</v>
      </c>
      <c r="B260" s="9" t="s">
        <v>10</v>
      </c>
      <c r="C260" s="9" t="s">
        <v>11</v>
      </c>
      <c r="D260" s="6" t="s">
        <v>12</v>
      </c>
      <c r="E260" s="9" t="s">
        <v>13</v>
      </c>
      <c r="F260" s="7" t="s">
        <v>14</v>
      </c>
      <c r="G260" s="15" t="n">
        <v>1202</v>
      </c>
      <c r="H260" s="8" t="n">
        <v>10202</v>
      </c>
      <c r="I260" s="9" t="str">
        <f aca="false">CONCATENATE(B260, CHAR(10), D260, CHAR(10), "Tax ID: ", F260)</f>
        <v>บริษัท เอพี (ไทยแลนด์) จำกัด (มหาชน)
170/57 อาคารโอเชี่ยนทาวเวอร์ 1 ชั้น 18 ถ.รัชดาภิเษกตัดใหม่ 
แขวงคลองเตย เขตคลองเตย กรุงเทพฯ 10110
Tax ID: 0107537000149</v>
      </c>
    </row>
    <row r="261" customFormat="false" ht="49.25" hidden="false" customHeight="false" outlineLevel="0" collapsed="false">
      <c r="A261" s="14" t="s">
        <v>395</v>
      </c>
      <c r="B261" s="10" t="s">
        <v>203</v>
      </c>
      <c r="C261" s="14" t="s">
        <v>204</v>
      </c>
      <c r="D261" s="11" t="s">
        <v>12</v>
      </c>
      <c r="E261" s="14" t="s">
        <v>13</v>
      </c>
      <c r="F261" s="12" t="s">
        <v>205</v>
      </c>
      <c r="G261" s="17" t="n">
        <v>2044</v>
      </c>
      <c r="H261" s="13" t="n">
        <v>20044</v>
      </c>
      <c r="I261" s="14" t="str">
        <f aca="false">CONCATENATE(B261, CHAR(10), D261, CHAR(10), "Tax ID: ", F261)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262" customFormat="false" ht="49.25" hidden="false" customHeight="false" outlineLevel="0" collapsed="false">
      <c r="A262" s="9" t="s">
        <v>396</v>
      </c>
      <c r="B262" s="9" t="s">
        <v>101</v>
      </c>
      <c r="C262" s="9" t="s">
        <v>102</v>
      </c>
      <c r="D262" s="18" t="s">
        <v>103</v>
      </c>
      <c r="E262" s="9" t="s">
        <v>104</v>
      </c>
      <c r="F262" s="7" t="s">
        <v>105</v>
      </c>
      <c r="G262" s="15" t="n">
        <v>7080</v>
      </c>
      <c r="H262" s="8" t="n">
        <v>70080</v>
      </c>
      <c r="I262" s="9" t="str">
        <f aca="false">CONCATENATE(B262, CHAR(10), D262, CHAR(10), "Tax ID: ", F262)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263" customFormat="false" ht="49.25" hidden="false" customHeight="false" outlineLevel="0" collapsed="false">
      <c r="A263" s="14" t="s">
        <v>397</v>
      </c>
      <c r="B263" s="14" t="s">
        <v>101</v>
      </c>
      <c r="C263" s="14" t="s">
        <v>102</v>
      </c>
      <c r="D263" s="21" t="s">
        <v>103</v>
      </c>
      <c r="E263" s="14" t="s">
        <v>104</v>
      </c>
      <c r="F263" s="12" t="s">
        <v>105</v>
      </c>
      <c r="G263" s="17" t="n">
        <v>7081</v>
      </c>
      <c r="H263" s="13" t="n">
        <v>70081</v>
      </c>
      <c r="I263" s="14" t="str">
        <f aca="false">CONCATENATE(B263, CHAR(10), D263, CHAR(10), "Tax ID: ", F263)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264" customFormat="false" ht="49.25" hidden="false" customHeight="false" outlineLevel="0" collapsed="false">
      <c r="A264" s="9" t="s">
        <v>398</v>
      </c>
      <c r="B264" s="9" t="s">
        <v>399</v>
      </c>
      <c r="C264" s="9" t="s">
        <v>400</v>
      </c>
      <c r="D264" s="18" t="s">
        <v>12</v>
      </c>
      <c r="E264" s="9" t="s">
        <v>390</v>
      </c>
      <c r="F264" s="7" t="s">
        <v>401</v>
      </c>
      <c r="G264" s="15" t="s">
        <v>402</v>
      </c>
      <c r="H264" s="8" t="s">
        <v>403</v>
      </c>
      <c r="I264" s="9" t="str">
        <f aca="false">CONCATENATE(B264, CHAR(10), D264, CHAR(10), "Tax ID: ", F264)</f>
        <v>บริษัท เอพี เอ็มอี 15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0105561212841</v>
      </c>
    </row>
    <row r="265" customFormat="false" ht="49.25" hidden="false" customHeight="false" outlineLevel="0" collapsed="false">
      <c r="A265" s="14" t="s">
        <v>404</v>
      </c>
      <c r="B265" s="10" t="s">
        <v>132</v>
      </c>
      <c r="C265" s="14" t="s">
        <v>405</v>
      </c>
      <c r="D265" s="11" t="s">
        <v>12</v>
      </c>
      <c r="E265" s="14" t="s">
        <v>13</v>
      </c>
      <c r="F265" s="12" t="s">
        <v>134</v>
      </c>
      <c r="G265" s="17" t="n">
        <v>4075</v>
      </c>
      <c r="H265" s="13" t="n">
        <v>40075</v>
      </c>
      <c r="I265" s="14" t="str">
        <f aca="false">CONCATENATE(B265, CHAR(10), D265, CHAR(10), "Tax ID: ", F265)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66" customFormat="false" ht="49.25" hidden="false" customHeight="false" outlineLevel="0" collapsed="false">
      <c r="A266" s="9" t="s">
        <v>406</v>
      </c>
      <c r="B266" s="9" t="s">
        <v>101</v>
      </c>
      <c r="C266" s="9" t="s">
        <v>102</v>
      </c>
      <c r="D266" s="18" t="s">
        <v>103</v>
      </c>
      <c r="E266" s="9" t="s">
        <v>104</v>
      </c>
      <c r="F266" s="7" t="s">
        <v>105</v>
      </c>
      <c r="G266" s="15" t="n">
        <v>7095</v>
      </c>
      <c r="H266" s="8" t="n">
        <v>70095</v>
      </c>
      <c r="I266" s="9" t="str">
        <f aca="false">CONCATENATE(B266, CHAR(10), D266, CHAR(10), "Tax ID: ", F266)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267" customFormat="false" ht="49.25" hidden="false" customHeight="false" outlineLevel="0" collapsed="false">
      <c r="A267" s="14" t="s">
        <v>407</v>
      </c>
      <c r="B267" s="10" t="s">
        <v>132</v>
      </c>
      <c r="C267" s="14" t="s">
        <v>405</v>
      </c>
      <c r="D267" s="11" t="s">
        <v>12</v>
      </c>
      <c r="E267" s="14" t="s">
        <v>13</v>
      </c>
      <c r="F267" s="12" t="s">
        <v>134</v>
      </c>
      <c r="G267" s="17" t="n">
        <v>4074</v>
      </c>
      <c r="H267" s="13" t="n">
        <v>40074</v>
      </c>
      <c r="I267" s="14" t="str">
        <f aca="false">CONCATENATE(B267, CHAR(10), D267, CHAR(10), "Tax ID: ", F267)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68" customFormat="false" ht="49.25" hidden="false" customHeight="false" outlineLevel="0" collapsed="false">
      <c r="A268" s="9" t="s">
        <v>408</v>
      </c>
      <c r="B268" s="5" t="s">
        <v>132</v>
      </c>
      <c r="C268" s="9" t="s">
        <v>405</v>
      </c>
      <c r="D268" s="6" t="s">
        <v>12</v>
      </c>
      <c r="E268" s="9" t="s">
        <v>13</v>
      </c>
      <c r="F268" s="7" t="s">
        <v>134</v>
      </c>
      <c r="G268" s="15" t="n">
        <v>4084</v>
      </c>
      <c r="H268" s="8" t="n">
        <v>40084</v>
      </c>
      <c r="I268" s="9" t="str">
        <f aca="false">CONCATENATE(B268, CHAR(10), D268, CHAR(10), "Tax ID: ", F268)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69" customFormat="false" ht="49.25" hidden="false" customHeight="false" outlineLevel="0" collapsed="false">
      <c r="A269" s="14" t="s">
        <v>409</v>
      </c>
      <c r="B269" s="10" t="s">
        <v>132</v>
      </c>
      <c r="C269" s="14" t="s">
        <v>405</v>
      </c>
      <c r="D269" s="11" t="s">
        <v>12</v>
      </c>
      <c r="E269" s="14" t="s">
        <v>13</v>
      </c>
      <c r="F269" s="12" t="s">
        <v>134</v>
      </c>
      <c r="G269" s="17" t="n">
        <v>4078</v>
      </c>
      <c r="H269" s="13" t="n">
        <v>40078</v>
      </c>
      <c r="I269" s="14" t="str">
        <f aca="false">CONCATENATE(B269, CHAR(10), D269, CHAR(10), "Tax ID: ", F269)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70" customFormat="false" ht="49.25" hidden="false" customHeight="false" outlineLevel="0" collapsed="false">
      <c r="A270" s="9" t="s">
        <v>410</v>
      </c>
      <c r="B270" s="5" t="s">
        <v>132</v>
      </c>
      <c r="C270" s="9" t="s">
        <v>405</v>
      </c>
      <c r="D270" s="6" t="s">
        <v>12</v>
      </c>
      <c r="E270" s="9" t="s">
        <v>13</v>
      </c>
      <c r="F270" s="7" t="s">
        <v>134</v>
      </c>
      <c r="G270" s="15" t="s">
        <v>411</v>
      </c>
      <c r="H270" s="8" t="n">
        <v>40079</v>
      </c>
      <c r="I270" s="9" t="str">
        <f aca="false">CONCATENATE(B270, CHAR(10), D270, CHAR(10), "Tax ID: ", F270)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71" customFormat="false" ht="49.25" hidden="false" customHeight="false" outlineLevel="0" collapsed="false">
      <c r="A271" s="14" t="s">
        <v>412</v>
      </c>
      <c r="B271" s="14" t="s">
        <v>101</v>
      </c>
      <c r="C271" s="14" t="s">
        <v>102</v>
      </c>
      <c r="D271" s="21" t="s">
        <v>103</v>
      </c>
      <c r="E271" s="14" t="s">
        <v>104</v>
      </c>
      <c r="F271" s="12" t="s">
        <v>105</v>
      </c>
      <c r="G271" s="12"/>
      <c r="H271" s="13"/>
      <c r="I271" s="14" t="str">
        <f aca="false">CONCATENATE(B271, CHAR(10), D271, CHAR(10), "Tax ID: ", F271)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272" customFormat="false" ht="49.25" hidden="false" customHeight="false" outlineLevel="0" collapsed="false">
      <c r="A272" s="9" t="s">
        <v>413</v>
      </c>
      <c r="B272" s="9" t="s">
        <v>101</v>
      </c>
      <c r="C272" s="9" t="s">
        <v>102</v>
      </c>
      <c r="D272" s="18" t="s">
        <v>103</v>
      </c>
      <c r="E272" s="9" t="s">
        <v>104</v>
      </c>
      <c r="F272" s="7" t="s">
        <v>105</v>
      </c>
      <c r="G272" s="15" t="n">
        <v>7086</v>
      </c>
      <c r="H272" s="8" t="n">
        <v>70086</v>
      </c>
      <c r="I272" s="9" t="str">
        <f aca="false">CONCATENATE(B272, CHAR(10), D272, CHAR(10), "Tax ID: ", F272)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273" customFormat="false" ht="49.25" hidden="false" customHeight="false" outlineLevel="0" collapsed="false">
      <c r="A273" s="14" t="s">
        <v>414</v>
      </c>
      <c r="B273" s="10" t="s">
        <v>132</v>
      </c>
      <c r="C273" s="14" t="s">
        <v>405</v>
      </c>
      <c r="D273" s="11" t="s">
        <v>12</v>
      </c>
      <c r="E273" s="14" t="s">
        <v>13</v>
      </c>
      <c r="F273" s="12" t="s">
        <v>134</v>
      </c>
      <c r="G273" s="17" t="n">
        <v>4076</v>
      </c>
      <c r="H273" s="13" t="n">
        <v>40076</v>
      </c>
      <c r="I273" s="14" t="str">
        <f aca="false">CONCATENATE(B273, CHAR(10), D273, CHAR(10), "Tax ID: ", F273)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74" customFormat="false" ht="49.25" hidden="false" customHeight="false" outlineLevel="0" collapsed="false">
      <c r="A274" s="9" t="s">
        <v>415</v>
      </c>
      <c r="B274" s="9" t="s">
        <v>101</v>
      </c>
      <c r="C274" s="9" t="s">
        <v>102</v>
      </c>
      <c r="D274" s="18" t="s">
        <v>103</v>
      </c>
      <c r="E274" s="9" t="s">
        <v>104</v>
      </c>
      <c r="F274" s="7" t="s">
        <v>105</v>
      </c>
      <c r="G274" s="15" t="n">
        <v>7087</v>
      </c>
      <c r="H274" s="8" t="n">
        <v>70087</v>
      </c>
      <c r="I274" s="9" t="str">
        <f aca="false">CONCATENATE(B274, CHAR(10), D274, CHAR(10), "Tax ID: ", F274)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275" customFormat="false" ht="49.25" hidden="false" customHeight="false" outlineLevel="0" collapsed="false">
      <c r="A275" s="14" t="s">
        <v>416</v>
      </c>
      <c r="B275" s="14" t="s">
        <v>101</v>
      </c>
      <c r="C275" s="14" t="s">
        <v>102</v>
      </c>
      <c r="D275" s="21" t="s">
        <v>103</v>
      </c>
      <c r="E275" s="14" t="s">
        <v>104</v>
      </c>
      <c r="F275" s="12" t="s">
        <v>105</v>
      </c>
      <c r="G275" s="17" t="n">
        <v>7088</v>
      </c>
      <c r="H275" s="13" t="n">
        <v>70088</v>
      </c>
      <c r="I275" s="14" t="str">
        <f aca="false">CONCATENATE(B275, CHAR(10), D275, CHAR(10), "Tax ID: ", F275)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276" customFormat="false" ht="49.25" hidden="false" customHeight="false" outlineLevel="0" collapsed="false">
      <c r="A276" s="9" t="s">
        <v>417</v>
      </c>
      <c r="B276" s="5" t="s">
        <v>203</v>
      </c>
      <c r="C276" s="9" t="s">
        <v>204</v>
      </c>
      <c r="D276" s="6" t="s">
        <v>12</v>
      </c>
      <c r="E276" s="9" t="s">
        <v>13</v>
      </c>
      <c r="F276" s="7" t="s">
        <v>205</v>
      </c>
      <c r="G276" s="15" t="n">
        <v>2037</v>
      </c>
      <c r="H276" s="8" t="n">
        <v>20037</v>
      </c>
      <c r="I276" s="9" t="str">
        <f aca="false">CONCATENATE(B276, CHAR(10), D276, CHAR(10), "Tax ID: ", F276)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277" customFormat="false" ht="49.25" hidden="false" customHeight="false" outlineLevel="0" collapsed="false">
      <c r="A277" s="14" t="s">
        <v>418</v>
      </c>
      <c r="B277" s="10" t="s">
        <v>132</v>
      </c>
      <c r="C277" s="14" t="s">
        <v>405</v>
      </c>
      <c r="D277" s="11" t="s">
        <v>12</v>
      </c>
      <c r="E277" s="14" t="s">
        <v>13</v>
      </c>
      <c r="F277" s="12" t="s">
        <v>134</v>
      </c>
      <c r="G277" s="17" t="n">
        <v>4091</v>
      </c>
      <c r="H277" s="13" t="n">
        <v>40091</v>
      </c>
      <c r="I277" s="14" t="str">
        <f aca="false">CONCATENATE(B277, CHAR(10), D277, CHAR(10), "Tax ID: ", F277)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78" customFormat="false" ht="49.25" hidden="false" customHeight="false" outlineLevel="0" collapsed="false">
      <c r="A278" s="9" t="s">
        <v>419</v>
      </c>
      <c r="B278" s="5" t="s">
        <v>132</v>
      </c>
      <c r="C278" s="9" t="s">
        <v>405</v>
      </c>
      <c r="D278" s="6" t="s">
        <v>12</v>
      </c>
      <c r="E278" s="9" t="s">
        <v>13</v>
      </c>
      <c r="F278" s="7" t="s">
        <v>134</v>
      </c>
      <c r="G278" s="15" t="s">
        <v>420</v>
      </c>
      <c r="H278" s="8" t="n">
        <v>40080</v>
      </c>
      <c r="I278" s="9" t="str">
        <f aca="false">CONCATENATE(B278, CHAR(10), D278, CHAR(10), "Tax ID: ", F278)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79" customFormat="false" ht="49.25" hidden="false" customHeight="false" outlineLevel="0" collapsed="false">
      <c r="A279" s="21" t="s">
        <v>421</v>
      </c>
      <c r="B279" s="10" t="s">
        <v>132</v>
      </c>
      <c r="C279" s="14" t="s">
        <v>405</v>
      </c>
      <c r="D279" s="11" t="s">
        <v>12</v>
      </c>
      <c r="E279" s="14" t="s">
        <v>13</v>
      </c>
      <c r="F279" s="12" t="s">
        <v>134</v>
      </c>
      <c r="G279" s="17" t="n">
        <v>4051</v>
      </c>
      <c r="H279" s="13" t="n">
        <v>40051</v>
      </c>
      <c r="I279" s="14" t="str">
        <f aca="false">CONCATENATE(B279, CHAR(10), D279, CHAR(10), "Tax ID: ", F279)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80" customFormat="false" ht="49.25" hidden="false" customHeight="false" outlineLevel="0" collapsed="false">
      <c r="A280" s="9" t="s">
        <v>422</v>
      </c>
      <c r="B280" s="5" t="s">
        <v>132</v>
      </c>
      <c r="C280" s="9" t="s">
        <v>405</v>
      </c>
      <c r="D280" s="6" t="s">
        <v>12</v>
      </c>
      <c r="E280" s="9" t="s">
        <v>13</v>
      </c>
      <c r="F280" s="7" t="s">
        <v>134</v>
      </c>
      <c r="G280" s="15" t="n">
        <v>4088</v>
      </c>
      <c r="H280" s="8" t="n">
        <v>40088</v>
      </c>
      <c r="I280" s="9" t="str">
        <f aca="false">CONCATENATE(B280, CHAR(10), D280, CHAR(10), "Tax ID: ", F280)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81" customFormat="false" ht="49.25" hidden="false" customHeight="false" outlineLevel="0" collapsed="false">
      <c r="A281" s="14" t="s">
        <v>423</v>
      </c>
      <c r="B281" s="14" t="s">
        <v>101</v>
      </c>
      <c r="C281" s="14" t="s">
        <v>102</v>
      </c>
      <c r="D281" s="21" t="s">
        <v>103</v>
      </c>
      <c r="E281" s="14" t="s">
        <v>104</v>
      </c>
      <c r="F281" s="12" t="s">
        <v>105</v>
      </c>
      <c r="G281" s="17" t="n">
        <v>7099</v>
      </c>
      <c r="H281" s="13" t="n">
        <v>70099</v>
      </c>
      <c r="I281" s="14" t="str">
        <f aca="false">CONCATENATE(B281, CHAR(10), D281, CHAR(10), "Tax ID: ", F281)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282" customFormat="false" ht="49.25" hidden="false" customHeight="false" outlineLevel="0" collapsed="false">
      <c r="A282" s="9" t="s">
        <v>424</v>
      </c>
      <c r="B282" s="5" t="s">
        <v>277</v>
      </c>
      <c r="C282" s="9" t="s">
        <v>278</v>
      </c>
      <c r="D282" s="18" t="s">
        <v>12</v>
      </c>
      <c r="E282" s="9" t="s">
        <v>13</v>
      </c>
      <c r="F282" s="7" t="s">
        <v>279</v>
      </c>
      <c r="G282" s="15" t="s">
        <v>425</v>
      </c>
      <c r="H282" s="8" t="s">
        <v>426</v>
      </c>
      <c r="I282" s="9" t="str">
        <f aca="false">CONCATENATE(B282, CHAR(10), D282, CHAR(10), "Tax ID: ", F282)</f>
        <v>บริษัท เอเชี่ยน พร็อพเพอร์ตี้ (2018)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0105560124515</v>
      </c>
    </row>
    <row r="283" customFormat="false" ht="49.25" hidden="false" customHeight="false" outlineLevel="0" collapsed="false">
      <c r="A283" s="14" t="s">
        <v>427</v>
      </c>
      <c r="B283" s="14" t="s">
        <v>101</v>
      </c>
      <c r="C283" s="14" t="s">
        <v>102</v>
      </c>
      <c r="D283" s="21" t="s">
        <v>103</v>
      </c>
      <c r="E283" s="14" t="s">
        <v>104</v>
      </c>
      <c r="F283" s="12" t="s">
        <v>105</v>
      </c>
      <c r="G283" s="17" t="n">
        <v>7096</v>
      </c>
      <c r="H283" s="13" t="n">
        <v>70096</v>
      </c>
      <c r="I283" s="14" t="str">
        <f aca="false">CONCATENATE(B283, CHAR(10), D283, CHAR(10), "Tax ID: ", F283)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284" customFormat="false" ht="49.25" hidden="false" customHeight="false" outlineLevel="0" collapsed="false">
      <c r="A284" s="9" t="s">
        <v>428</v>
      </c>
      <c r="B284" s="5" t="s">
        <v>132</v>
      </c>
      <c r="C284" s="9" t="s">
        <v>405</v>
      </c>
      <c r="D284" s="6" t="s">
        <v>12</v>
      </c>
      <c r="E284" s="9" t="s">
        <v>13</v>
      </c>
      <c r="F284" s="7" t="s">
        <v>134</v>
      </c>
      <c r="G284" s="15" t="n">
        <v>4092</v>
      </c>
      <c r="H284" s="8" t="n">
        <v>40092</v>
      </c>
      <c r="I284" s="9" t="str">
        <f aca="false">CONCATENATE(B284, CHAR(10), D284, CHAR(10), "Tax ID: ", F284)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85" customFormat="false" ht="49.25" hidden="false" customHeight="false" outlineLevel="0" collapsed="false">
      <c r="A285" s="14" t="s">
        <v>429</v>
      </c>
      <c r="B285" s="10" t="s">
        <v>132</v>
      </c>
      <c r="C285" s="14" t="s">
        <v>133</v>
      </c>
      <c r="D285" s="11" t="s">
        <v>12</v>
      </c>
      <c r="E285" s="14" t="s">
        <v>13</v>
      </c>
      <c r="F285" s="12" t="s">
        <v>134</v>
      </c>
      <c r="G285" s="17" t="n">
        <v>4069</v>
      </c>
      <c r="H285" s="13" t="n">
        <v>40069</v>
      </c>
      <c r="I285" s="14" t="str">
        <f aca="false">CONCATENATE(B285, CHAR(10), D285, CHAR(10), "Tax ID: ", F285)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86" customFormat="false" ht="49.25" hidden="false" customHeight="false" outlineLevel="0" collapsed="false">
      <c r="A286" s="9" t="s">
        <v>430</v>
      </c>
      <c r="B286" s="5" t="s">
        <v>132</v>
      </c>
      <c r="C286" s="9" t="s">
        <v>133</v>
      </c>
      <c r="D286" s="6" t="s">
        <v>12</v>
      </c>
      <c r="E286" s="9" t="s">
        <v>13</v>
      </c>
      <c r="F286" s="7" t="s">
        <v>134</v>
      </c>
      <c r="G286" s="15" t="n">
        <v>4083</v>
      </c>
      <c r="H286" s="8" t="n">
        <v>40083</v>
      </c>
      <c r="I286" s="9" t="str">
        <f aca="false">CONCATENATE(B286, CHAR(10), D286, CHAR(10), "Tax ID: ", F286)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87" customFormat="false" ht="49.25" hidden="false" customHeight="false" outlineLevel="0" collapsed="false">
      <c r="A287" s="14" t="s">
        <v>431</v>
      </c>
      <c r="B287" s="10" t="s">
        <v>132</v>
      </c>
      <c r="C287" s="14" t="s">
        <v>405</v>
      </c>
      <c r="D287" s="11" t="s">
        <v>12</v>
      </c>
      <c r="E287" s="14" t="s">
        <v>13</v>
      </c>
      <c r="F287" s="12" t="s">
        <v>134</v>
      </c>
      <c r="G287" s="17" t="n">
        <v>4081</v>
      </c>
      <c r="H287" s="13" t="n">
        <v>40081</v>
      </c>
      <c r="I287" s="14" t="str">
        <f aca="false">CONCATENATE(B287, CHAR(10), D287, CHAR(10), "Tax ID: ", F287)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88" customFormat="false" ht="49.25" hidden="false" customHeight="false" outlineLevel="0" collapsed="false">
      <c r="A288" s="9" t="s">
        <v>432</v>
      </c>
      <c r="B288" s="5" t="s">
        <v>132</v>
      </c>
      <c r="C288" s="9" t="s">
        <v>405</v>
      </c>
      <c r="D288" s="6" t="s">
        <v>12</v>
      </c>
      <c r="E288" s="9" t="s">
        <v>13</v>
      </c>
      <c r="F288" s="7" t="s">
        <v>134</v>
      </c>
      <c r="G288" s="15" t="n">
        <v>4087</v>
      </c>
      <c r="H288" s="8" t="n">
        <v>40087</v>
      </c>
      <c r="I288" s="9" t="str">
        <f aca="false">CONCATENATE(B288, CHAR(10), D288, CHAR(10), "Tax ID: ", F288)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89" customFormat="false" ht="49.25" hidden="false" customHeight="false" outlineLevel="0" collapsed="false">
      <c r="A289" s="14" t="s">
        <v>433</v>
      </c>
      <c r="B289" s="14" t="s">
        <v>101</v>
      </c>
      <c r="C289" s="14" t="s">
        <v>102</v>
      </c>
      <c r="D289" s="21" t="s">
        <v>103</v>
      </c>
      <c r="E289" s="14" t="s">
        <v>104</v>
      </c>
      <c r="F289" s="12" t="s">
        <v>105</v>
      </c>
      <c r="G289" s="17" t="n">
        <v>70085</v>
      </c>
      <c r="H289" s="13" t="str">
        <f aca="false">"MK"&amp;G289</f>
        <v>MK70085</v>
      </c>
      <c r="I289" s="14" t="str">
        <f aca="false">CONCATENATE(B289, CHAR(10), D289, CHAR(10), "Tax ID: ", F289)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290" customFormat="false" ht="49.25" hidden="false" customHeight="false" outlineLevel="0" collapsed="false">
      <c r="A290" s="9" t="s">
        <v>434</v>
      </c>
      <c r="B290" s="9" t="s">
        <v>101</v>
      </c>
      <c r="C290" s="9" t="s">
        <v>102</v>
      </c>
      <c r="D290" s="18" t="s">
        <v>103</v>
      </c>
      <c r="E290" s="9" t="s">
        <v>104</v>
      </c>
      <c r="F290" s="7" t="s">
        <v>105</v>
      </c>
      <c r="G290" s="15" t="n">
        <v>70109</v>
      </c>
      <c r="H290" s="8" t="str">
        <f aca="false">"MK"&amp;G290</f>
        <v>MK70109</v>
      </c>
      <c r="I290" s="9" t="str">
        <f aca="false">CONCATENATE(B290, CHAR(10), D290, CHAR(10), "Tax ID: ", F290)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291" customFormat="false" ht="49.25" hidden="false" customHeight="false" outlineLevel="0" collapsed="false">
      <c r="A291" s="9" t="s">
        <v>435</v>
      </c>
      <c r="B291" s="9" t="s">
        <v>101</v>
      </c>
      <c r="C291" s="9" t="s">
        <v>102</v>
      </c>
      <c r="D291" s="18" t="s">
        <v>103</v>
      </c>
      <c r="E291" s="9" t="s">
        <v>104</v>
      </c>
      <c r="F291" s="7" t="s">
        <v>105</v>
      </c>
      <c r="G291" s="15" t="n">
        <v>70134</v>
      </c>
      <c r="H291" s="8" t="str">
        <f aca="false">"MK"&amp;G291</f>
        <v>MK70134</v>
      </c>
      <c r="I291" s="9" t="str">
        <f aca="false">CONCATENATE(B291, CHAR(10), D291, CHAR(10), "Tax ID: ", F291)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292" customFormat="false" ht="49.25" hidden="false" customHeight="false" outlineLevel="0" collapsed="false">
      <c r="A292" s="14" t="s">
        <v>436</v>
      </c>
      <c r="B292" s="10" t="s">
        <v>132</v>
      </c>
      <c r="C292" s="14" t="s">
        <v>405</v>
      </c>
      <c r="D292" s="11" t="s">
        <v>12</v>
      </c>
      <c r="E292" s="14" t="s">
        <v>13</v>
      </c>
      <c r="F292" s="12" t="s">
        <v>134</v>
      </c>
      <c r="G292" s="12"/>
      <c r="H292" s="13"/>
      <c r="I292" s="14" t="str">
        <f aca="false">CONCATENATE(B292, CHAR(10), D292, CHAR(10), "Tax ID: ", F292)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93" customFormat="false" ht="49.25" hidden="false" customHeight="false" outlineLevel="0" collapsed="false">
      <c r="A293" s="9" t="s">
        <v>437</v>
      </c>
      <c r="B293" s="5" t="s">
        <v>132</v>
      </c>
      <c r="C293" s="9" t="s">
        <v>133</v>
      </c>
      <c r="D293" s="6" t="s">
        <v>12</v>
      </c>
      <c r="E293" s="9" t="s">
        <v>13</v>
      </c>
      <c r="F293" s="7" t="s">
        <v>134</v>
      </c>
      <c r="G293" s="15" t="n">
        <v>4097</v>
      </c>
      <c r="H293" s="8" t="n">
        <v>40097</v>
      </c>
      <c r="I293" s="9" t="str">
        <f aca="false">CONCATENATE(B293, CHAR(10), D293, CHAR(10), "Tax ID: ", F293)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94" customFormat="false" ht="49.25" hidden="false" customHeight="false" outlineLevel="0" collapsed="false">
      <c r="A294" s="14" t="s">
        <v>438</v>
      </c>
      <c r="B294" s="14" t="s">
        <v>101</v>
      </c>
      <c r="C294" s="14" t="s">
        <v>102</v>
      </c>
      <c r="D294" s="21" t="s">
        <v>103</v>
      </c>
      <c r="E294" s="14" t="s">
        <v>392</v>
      </c>
      <c r="F294" s="12" t="s">
        <v>105</v>
      </c>
      <c r="G294" s="17" t="n">
        <v>7091</v>
      </c>
      <c r="H294" s="13" t="n">
        <v>70091</v>
      </c>
      <c r="I294" s="14" t="str">
        <f aca="false">CONCATENATE(B294, CHAR(10), D294, CHAR(10), "Tax ID: ", F294)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295" customFormat="false" ht="49.25" hidden="false" customHeight="false" outlineLevel="0" collapsed="false">
      <c r="A295" s="9" t="s">
        <v>439</v>
      </c>
      <c r="B295" s="9" t="s">
        <v>440</v>
      </c>
      <c r="C295" s="9" t="s">
        <v>441</v>
      </c>
      <c r="D295" s="18" t="s">
        <v>442</v>
      </c>
      <c r="E295" s="9" t="s">
        <v>443</v>
      </c>
      <c r="F295" s="27" t="s">
        <v>444</v>
      </c>
      <c r="G295" s="15" t="s">
        <v>445</v>
      </c>
      <c r="H295" s="8" t="s">
        <v>446</v>
      </c>
      <c r="I295" s="9" t="str">
        <f aca="false">CONCATENATE(B295, CHAR(10), D295, CHAR(10), "Tax ID: ", F295)</f>
        <v>บริษัท เอพี เอ็มอี 18 จำกัด (สำนักงานใหญ่)
170/57 อาคารโอเชี่ยนทาวเวอร์ 1 ชั้น 18 ถนนรัชดาภิเษกตัดใหม่ 
แขวงคลองเตย เขตคลองเตย กรุงเทพฯ 10110
Tax ID: 0105562036818</v>
      </c>
    </row>
    <row r="296" customFormat="false" ht="49.25" hidden="false" customHeight="false" outlineLevel="0" collapsed="false">
      <c r="A296" s="14" t="s">
        <v>447</v>
      </c>
      <c r="B296" s="10" t="s">
        <v>132</v>
      </c>
      <c r="C296" s="14" t="s">
        <v>405</v>
      </c>
      <c r="D296" s="11" t="s">
        <v>12</v>
      </c>
      <c r="E296" s="14" t="s">
        <v>13</v>
      </c>
      <c r="F296" s="12" t="s">
        <v>134</v>
      </c>
      <c r="G296" s="17" t="n">
        <v>4098</v>
      </c>
      <c r="H296" s="13" t="n">
        <v>40098</v>
      </c>
      <c r="I296" s="14" t="str">
        <f aca="false">CONCATENATE(B296, CHAR(10), D296, CHAR(10), "Tax ID: ", F296)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97" customFormat="false" ht="49.25" hidden="false" customHeight="false" outlineLevel="0" collapsed="false">
      <c r="A297" s="9" t="s">
        <v>448</v>
      </c>
      <c r="B297" s="5" t="s">
        <v>132</v>
      </c>
      <c r="C297" s="9" t="s">
        <v>405</v>
      </c>
      <c r="D297" s="6" t="s">
        <v>12</v>
      </c>
      <c r="E297" s="9" t="s">
        <v>13</v>
      </c>
      <c r="F297" s="7" t="s">
        <v>134</v>
      </c>
      <c r="G297" s="15" t="n">
        <v>4093</v>
      </c>
      <c r="H297" s="8" t="n">
        <v>40093</v>
      </c>
      <c r="I297" s="9" t="str">
        <f aca="false">CONCATENATE(B297, CHAR(10), D297, CHAR(10), "Tax ID: ", F297)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98" customFormat="false" ht="49.25" hidden="false" customHeight="false" outlineLevel="0" collapsed="false">
      <c r="A298" s="14" t="s">
        <v>449</v>
      </c>
      <c r="B298" s="10" t="s">
        <v>132</v>
      </c>
      <c r="C298" s="14" t="s">
        <v>405</v>
      </c>
      <c r="D298" s="11" t="s">
        <v>12</v>
      </c>
      <c r="E298" s="14" t="s">
        <v>13</v>
      </c>
      <c r="F298" s="12" t="s">
        <v>134</v>
      </c>
      <c r="G298" s="17" t="n">
        <v>4082</v>
      </c>
      <c r="H298" s="13" t="n">
        <v>40082</v>
      </c>
      <c r="I298" s="14" t="str">
        <f aca="false">CONCATENATE(B298, CHAR(10), D298, CHAR(10), "Tax ID: ", F298)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299" customFormat="false" ht="49.25" hidden="false" customHeight="false" outlineLevel="0" collapsed="false">
      <c r="A299" s="9" t="s">
        <v>450</v>
      </c>
      <c r="B299" s="5" t="s">
        <v>132</v>
      </c>
      <c r="C299" s="9" t="s">
        <v>405</v>
      </c>
      <c r="D299" s="6" t="s">
        <v>12</v>
      </c>
      <c r="E299" s="9" t="s">
        <v>13</v>
      </c>
      <c r="F299" s="7" t="s">
        <v>134</v>
      </c>
      <c r="G299" s="15" t="n">
        <v>4077</v>
      </c>
      <c r="H299" s="8" t="n">
        <v>40077</v>
      </c>
      <c r="I299" s="9" t="str">
        <f aca="false">CONCATENATE(B299, CHAR(10), D299, CHAR(10), "Tax ID: ", F299)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00" customFormat="false" ht="49.25" hidden="false" customHeight="false" outlineLevel="0" collapsed="false">
      <c r="A300" s="14" t="s">
        <v>451</v>
      </c>
      <c r="B300" s="14" t="s">
        <v>101</v>
      </c>
      <c r="C300" s="14" t="s">
        <v>102</v>
      </c>
      <c r="D300" s="21" t="s">
        <v>103</v>
      </c>
      <c r="E300" s="14" t="s">
        <v>104</v>
      </c>
      <c r="F300" s="12" t="s">
        <v>105</v>
      </c>
      <c r="G300" s="17" t="n">
        <v>7090</v>
      </c>
      <c r="H300" s="13" t="n">
        <v>70090</v>
      </c>
      <c r="I300" s="14" t="str">
        <f aca="false">CONCATENATE(B300, CHAR(10), D300, CHAR(10), "Tax ID: ", F300)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301" customFormat="false" ht="49.25" hidden="false" customHeight="false" outlineLevel="0" collapsed="false">
      <c r="A301" s="9" t="s">
        <v>452</v>
      </c>
      <c r="B301" s="9" t="s">
        <v>101</v>
      </c>
      <c r="C301" s="9" t="s">
        <v>102</v>
      </c>
      <c r="D301" s="18" t="s">
        <v>103</v>
      </c>
      <c r="E301" s="9" t="s">
        <v>104</v>
      </c>
      <c r="F301" s="7" t="s">
        <v>105</v>
      </c>
      <c r="G301" s="15" t="n">
        <v>7078</v>
      </c>
      <c r="H301" s="8" t="n">
        <v>70078</v>
      </c>
      <c r="I301" s="9" t="str">
        <f aca="false">CONCATENATE(B301, CHAR(10), D301, CHAR(10), "Tax ID: ", F301)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302" customFormat="false" ht="49.25" hidden="false" customHeight="false" outlineLevel="0" collapsed="false">
      <c r="A302" s="14" t="s">
        <v>453</v>
      </c>
      <c r="B302" s="14" t="s">
        <v>101</v>
      </c>
      <c r="C302" s="14" t="s">
        <v>102</v>
      </c>
      <c r="D302" s="21" t="s">
        <v>103</v>
      </c>
      <c r="E302" s="14" t="s">
        <v>104</v>
      </c>
      <c r="F302" s="12" t="s">
        <v>105</v>
      </c>
      <c r="G302" s="17" t="n">
        <v>7098</v>
      </c>
      <c r="H302" s="13" t="n">
        <v>70098</v>
      </c>
      <c r="I302" s="14" t="str">
        <f aca="false">CONCATENATE(B302, CHAR(10), D302, CHAR(10), "Tax ID: ", F302)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303" customFormat="false" ht="49.25" hidden="false" customHeight="false" outlineLevel="0" collapsed="false">
      <c r="A303" s="9" t="s">
        <v>454</v>
      </c>
      <c r="B303" s="9" t="s">
        <v>101</v>
      </c>
      <c r="C303" s="9" t="s">
        <v>102</v>
      </c>
      <c r="D303" s="18" t="s">
        <v>103</v>
      </c>
      <c r="E303" s="9" t="s">
        <v>104</v>
      </c>
      <c r="F303" s="7" t="s">
        <v>105</v>
      </c>
      <c r="G303" s="15" t="n">
        <v>7073</v>
      </c>
      <c r="H303" s="8" t="n">
        <v>70073</v>
      </c>
      <c r="I303" s="9" t="str">
        <f aca="false">CONCATENATE(B303, CHAR(10), D303, CHAR(10), "Tax ID: ", F303)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304" customFormat="false" ht="21" hidden="false" customHeight="true" outlineLevel="0" collapsed="false">
      <c r="A304" s="14" t="s">
        <v>455</v>
      </c>
      <c r="B304" s="10" t="s">
        <v>132</v>
      </c>
      <c r="C304" s="14" t="s">
        <v>405</v>
      </c>
      <c r="D304" s="11" t="s">
        <v>12</v>
      </c>
      <c r="E304" s="14" t="s">
        <v>13</v>
      </c>
      <c r="F304" s="12" t="s">
        <v>134</v>
      </c>
      <c r="G304" s="17" t="n">
        <v>4086</v>
      </c>
      <c r="H304" s="13" t="n">
        <v>40086</v>
      </c>
      <c r="I304" s="14" t="str">
        <f aca="false">CONCATENATE(B304, CHAR(10), D304, CHAR(10), "Tax ID: ", F304)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05" customFormat="false" ht="21" hidden="false" customHeight="true" outlineLevel="0" collapsed="false">
      <c r="A305" s="9" t="s">
        <v>456</v>
      </c>
      <c r="B305" s="9" t="s">
        <v>374</v>
      </c>
      <c r="C305" s="9"/>
      <c r="D305" s="18" t="s">
        <v>375</v>
      </c>
      <c r="E305" s="9"/>
      <c r="F305" s="7" t="s">
        <v>376</v>
      </c>
      <c r="G305" s="15" t="s">
        <v>457</v>
      </c>
      <c r="H305" s="8" t="s">
        <v>458</v>
      </c>
      <c r="I305" s="9" t="str">
        <f aca="false">CONCATENATE(B305, CHAR(10), D305, CHAR(10), "Tax ID: ", F305)</f>
        <v>บริษัท เอเชี่ยน พร็อพเพอร์ตี้ (2024) จำกัด (สำนักงานใหญ่)
170/57 อาคารโอเชี่ยนทาวเวอร์ 1 ชั้นที่ 18 ซอยสุขุมวิท 16 (สามมิตร) 
ถนนรัชดาภิเษกตัดใหม่ แขวงคลองเตย เขตคลองเตย กรุงเทพมหานคร 10110
Tax ID: 0105559106240</v>
      </c>
    </row>
    <row r="306" customFormat="false" ht="21" hidden="false" customHeight="true" outlineLevel="0" collapsed="false">
      <c r="A306" s="14" t="s">
        <v>459</v>
      </c>
      <c r="B306" s="10" t="s">
        <v>132</v>
      </c>
      <c r="C306" s="14" t="s">
        <v>405</v>
      </c>
      <c r="D306" s="11" t="s">
        <v>12</v>
      </c>
      <c r="E306" s="14" t="s">
        <v>13</v>
      </c>
      <c r="F306" s="12" t="s">
        <v>134</v>
      </c>
      <c r="G306" s="17" t="n">
        <v>4094</v>
      </c>
      <c r="H306" s="13" t="n">
        <v>40094</v>
      </c>
      <c r="I306" s="14" t="str">
        <f aca="false">CONCATENATE(B306, CHAR(10), D306, CHAR(10), "Tax ID: ", F306)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07" customFormat="false" ht="24" hidden="false" customHeight="true" outlineLevel="0" collapsed="false">
      <c r="A307" s="5" t="s">
        <v>460</v>
      </c>
      <c r="B307" s="5" t="s">
        <v>132</v>
      </c>
      <c r="C307" s="9" t="s">
        <v>405</v>
      </c>
      <c r="D307" s="6" t="s">
        <v>12</v>
      </c>
      <c r="E307" s="9" t="s">
        <v>13</v>
      </c>
      <c r="F307" s="7" t="s">
        <v>134</v>
      </c>
      <c r="G307" s="7"/>
      <c r="H307" s="8"/>
      <c r="I307" s="9" t="str">
        <f aca="false">CONCATENATE(B307, CHAR(10), D307, CHAR(10), "Tax ID: ", F307)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08" customFormat="false" ht="49.25" hidden="false" customHeight="false" outlineLevel="0" collapsed="false">
      <c r="A308" s="14" t="s">
        <v>461</v>
      </c>
      <c r="B308" s="14" t="s">
        <v>462</v>
      </c>
      <c r="C308" s="14" t="s">
        <v>463</v>
      </c>
      <c r="D308" s="21" t="s">
        <v>442</v>
      </c>
      <c r="E308" s="14" t="s">
        <v>443</v>
      </c>
      <c r="F308" s="12" t="s">
        <v>464</v>
      </c>
      <c r="G308" s="17" t="s">
        <v>465</v>
      </c>
      <c r="H308" s="13" t="s">
        <v>466</v>
      </c>
      <c r="I308" s="14" t="str">
        <f aca="false">CONCATENATE(B308, CHAR(10), D308, CHAR(10), "Tax ID: ", F308)</f>
        <v>บริษัท เอพี เอ็มอี 16 จำกัด (สำนักงานใหญ่) 
170/57 อาคารโอเชี่ยนทาวเวอร์ 1 ชั้น 18 ถนนรัชดาภิเษกตัดใหม่ 
แขวงคลองเตย เขตคลองเตย กรุงเทพฯ 10110
Tax ID: 0105562036753</v>
      </c>
    </row>
    <row r="309" customFormat="false" ht="21.75" hidden="false" customHeight="true" outlineLevel="0" collapsed="false">
      <c r="A309" s="5" t="s">
        <v>467</v>
      </c>
      <c r="B309" s="5" t="s">
        <v>132</v>
      </c>
      <c r="C309" s="5" t="s">
        <v>133</v>
      </c>
      <c r="D309" s="6" t="s">
        <v>12</v>
      </c>
      <c r="E309" s="5" t="s">
        <v>13</v>
      </c>
      <c r="F309" s="7" t="s">
        <v>134</v>
      </c>
      <c r="G309" s="15" t="n">
        <v>4114</v>
      </c>
      <c r="H309" s="8" t="n">
        <v>40114</v>
      </c>
      <c r="I309" s="9" t="str">
        <f aca="false">CONCATENATE(B309, CHAR(10), D309, CHAR(10), "Tax ID: ", F309)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10" customFormat="false" ht="49.25" hidden="false" customHeight="false" outlineLevel="0" collapsed="false">
      <c r="A310" s="10" t="s">
        <v>468</v>
      </c>
      <c r="B310" s="10" t="s">
        <v>132</v>
      </c>
      <c r="C310" s="14" t="s">
        <v>405</v>
      </c>
      <c r="D310" s="11" t="s">
        <v>12</v>
      </c>
      <c r="E310" s="14" t="s">
        <v>13</v>
      </c>
      <c r="F310" s="12" t="s">
        <v>134</v>
      </c>
      <c r="G310" s="17" t="n">
        <v>4104</v>
      </c>
      <c r="H310" s="13" t="n">
        <v>40104</v>
      </c>
      <c r="I310" s="14" t="str">
        <f aca="false">CONCATENATE(B310, CHAR(10), D310, CHAR(10), "Tax ID: ", F310)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11" customFormat="false" ht="49.25" hidden="false" customHeight="false" outlineLevel="0" collapsed="false">
      <c r="A311" s="28" t="s">
        <v>469</v>
      </c>
      <c r="B311" s="9" t="s">
        <v>470</v>
      </c>
      <c r="C311" s="5" t="s">
        <v>102</v>
      </c>
      <c r="D311" s="18" t="s">
        <v>471</v>
      </c>
      <c r="E311" s="5" t="s">
        <v>104</v>
      </c>
      <c r="F311" s="7" t="s">
        <v>472</v>
      </c>
      <c r="G311" s="15"/>
      <c r="H311" s="24"/>
      <c r="I311" s="19" t="str">
        <f aca="false">CONCATENATE(B311, CHAR(10), D311, CHAR(10), "Tax ID: ", F311)</f>
        <v>บริษัท คาร์บอนทู จำกัด (สำนักงานใหญ่)
170/64,170/66 อาคารโอเชี่ยนทาวเวอร์ 1 ชั้น 21 ซอยสุขุมวิท 16 (สามมิตร) 
ถนนรัชดาภิเษกตัดใหม่ แขวงคลองเตย เขตคลองเตย กรุงเทพมหานคร 10110
Tax ID: 0105560178330</v>
      </c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</row>
    <row r="312" customFormat="false" ht="49.25" hidden="false" customHeight="false" outlineLevel="0" collapsed="false">
      <c r="A312" s="28" t="s">
        <v>473</v>
      </c>
      <c r="B312" s="14" t="s">
        <v>101</v>
      </c>
      <c r="C312" s="10" t="s">
        <v>102</v>
      </c>
      <c r="D312" s="21" t="s">
        <v>103</v>
      </c>
      <c r="E312" s="10" t="s">
        <v>104</v>
      </c>
      <c r="F312" s="12" t="s">
        <v>105</v>
      </c>
      <c r="G312" s="12"/>
      <c r="H312" s="13"/>
      <c r="I312" s="19" t="str">
        <f aca="false">CONCATENATE(B312, CHAR(10), D312, CHAR(10), "Tax ID: ", F312)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</row>
    <row r="313" customFormat="false" ht="49.25" hidden="false" customHeight="false" outlineLevel="0" collapsed="false">
      <c r="A313" s="28" t="s">
        <v>474</v>
      </c>
      <c r="B313" s="9" t="s">
        <v>101</v>
      </c>
      <c r="C313" s="5" t="s">
        <v>102</v>
      </c>
      <c r="D313" s="18" t="s">
        <v>103</v>
      </c>
      <c r="E313" s="5" t="s">
        <v>104</v>
      </c>
      <c r="F313" s="7" t="s">
        <v>105</v>
      </c>
      <c r="G313" s="7"/>
      <c r="H313" s="8"/>
      <c r="I313" s="19" t="str">
        <f aca="false">CONCATENATE(B313, CHAR(10), D313, CHAR(10), "Tax ID: ", F313)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</row>
    <row r="314" customFormat="false" ht="49.25" hidden="false" customHeight="false" outlineLevel="0" collapsed="false">
      <c r="A314" s="28" t="s">
        <v>475</v>
      </c>
      <c r="B314" s="10" t="s">
        <v>132</v>
      </c>
      <c r="C314" s="10" t="s">
        <v>133</v>
      </c>
      <c r="D314" s="11" t="s">
        <v>12</v>
      </c>
      <c r="E314" s="10" t="s">
        <v>13</v>
      </c>
      <c r="F314" s="12" t="s">
        <v>134</v>
      </c>
      <c r="G314" s="12"/>
      <c r="H314" s="13"/>
      <c r="I314" s="14" t="str">
        <f aca="false">CONCATENATE(B314, CHAR(10), D314, CHAR(10), "Tax ID: ", F314)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15" customFormat="false" ht="49.25" hidden="false" customHeight="false" outlineLevel="0" collapsed="false">
      <c r="A315" s="28" t="s">
        <v>476</v>
      </c>
      <c r="B315" s="5" t="s">
        <v>132</v>
      </c>
      <c r="C315" s="9" t="s">
        <v>133</v>
      </c>
      <c r="D315" s="6" t="s">
        <v>12</v>
      </c>
      <c r="E315" s="5" t="s">
        <v>13</v>
      </c>
      <c r="F315" s="7" t="s">
        <v>134</v>
      </c>
      <c r="G315" s="7"/>
      <c r="H315" s="8"/>
      <c r="I315" s="9" t="str">
        <f aca="false">CONCATENATE(B315, CHAR(10), D315, CHAR(10), "Tax ID: ", F315)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16" customFormat="false" ht="49.25" hidden="false" customHeight="false" outlineLevel="0" collapsed="false">
      <c r="A316" s="28" t="s">
        <v>477</v>
      </c>
      <c r="B316" s="10" t="s">
        <v>132</v>
      </c>
      <c r="C316" s="14" t="s">
        <v>405</v>
      </c>
      <c r="D316" s="11" t="s">
        <v>12</v>
      </c>
      <c r="E316" s="14" t="s">
        <v>13</v>
      </c>
      <c r="F316" s="12" t="s">
        <v>134</v>
      </c>
      <c r="G316" s="12"/>
      <c r="H316" s="13"/>
      <c r="I316" s="14" t="str">
        <f aca="false">CONCATENATE(B316, CHAR(10), D316, CHAR(10), "Tax ID: ", F316)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17" customFormat="false" ht="49.25" hidden="false" customHeight="false" outlineLevel="0" collapsed="false">
      <c r="A317" s="28" t="s">
        <v>478</v>
      </c>
      <c r="B317" s="5" t="s">
        <v>132</v>
      </c>
      <c r="C317" s="5" t="s">
        <v>133</v>
      </c>
      <c r="D317" s="6" t="s">
        <v>12</v>
      </c>
      <c r="E317" s="5" t="s">
        <v>13</v>
      </c>
      <c r="F317" s="7" t="s">
        <v>134</v>
      </c>
      <c r="G317" s="15"/>
      <c r="H317" s="8" t="s">
        <v>479</v>
      </c>
      <c r="I317" s="9" t="str">
        <f aca="false">CONCATENATE(B317, CHAR(10), D317, CHAR(10), "Tax ID: ", F317)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18" customFormat="false" ht="49.25" hidden="false" customHeight="false" outlineLevel="0" collapsed="false">
      <c r="A318" s="28" t="s">
        <v>480</v>
      </c>
      <c r="B318" s="10" t="s">
        <v>132</v>
      </c>
      <c r="C318" s="10" t="s">
        <v>133</v>
      </c>
      <c r="D318" s="11" t="s">
        <v>12</v>
      </c>
      <c r="E318" s="10" t="s">
        <v>13</v>
      </c>
      <c r="F318" s="12" t="s">
        <v>134</v>
      </c>
      <c r="G318" s="17"/>
      <c r="H318" s="13" t="s">
        <v>481</v>
      </c>
      <c r="I318" s="14" t="str">
        <f aca="false">CONCATENATE(B318, CHAR(10), D318, CHAR(10), "Tax ID: ", F318)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19" customFormat="false" ht="49.25" hidden="false" customHeight="false" outlineLevel="0" collapsed="false">
      <c r="A319" s="28" t="s">
        <v>482</v>
      </c>
      <c r="B319" s="5" t="s">
        <v>132</v>
      </c>
      <c r="C319" s="5" t="s">
        <v>133</v>
      </c>
      <c r="D319" s="6" t="s">
        <v>12</v>
      </c>
      <c r="E319" s="5" t="s">
        <v>13</v>
      </c>
      <c r="F319" s="7" t="s">
        <v>134</v>
      </c>
      <c r="G319" s="15"/>
      <c r="H319" s="8" t="s">
        <v>483</v>
      </c>
      <c r="I319" s="9" t="str">
        <f aca="false">CONCATENATE(B319, CHAR(10), D319, CHAR(10), "Tax ID: ", F319)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20" customFormat="false" ht="49.25" hidden="false" customHeight="false" outlineLevel="0" collapsed="false">
      <c r="A320" s="28" t="s">
        <v>484</v>
      </c>
      <c r="B320" s="10" t="s">
        <v>132</v>
      </c>
      <c r="C320" s="10" t="s">
        <v>133</v>
      </c>
      <c r="D320" s="11" t="s">
        <v>12</v>
      </c>
      <c r="E320" s="10" t="s">
        <v>13</v>
      </c>
      <c r="F320" s="12" t="s">
        <v>134</v>
      </c>
      <c r="G320" s="17"/>
      <c r="H320" s="13" t="s">
        <v>485</v>
      </c>
      <c r="I320" s="14" t="str">
        <f aca="false">CONCATENATE(B320, CHAR(10), D320, CHAR(10), "Tax ID: ", F320)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21" customFormat="false" ht="49.25" hidden="false" customHeight="false" outlineLevel="0" collapsed="false">
      <c r="A321" s="29" t="s">
        <v>486</v>
      </c>
      <c r="B321" s="5" t="s">
        <v>132</v>
      </c>
      <c r="C321" s="5" t="s">
        <v>133</v>
      </c>
      <c r="D321" s="6" t="s">
        <v>12</v>
      </c>
      <c r="E321" s="5" t="s">
        <v>13</v>
      </c>
      <c r="F321" s="7" t="s">
        <v>134</v>
      </c>
      <c r="G321" s="15"/>
      <c r="H321" s="8" t="s">
        <v>487</v>
      </c>
      <c r="I321" s="9" t="str">
        <f aca="false">CONCATENATE(B321, CHAR(10), D321, CHAR(10), "Tax ID: ", F321)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22" customFormat="false" ht="49.25" hidden="false" customHeight="false" outlineLevel="0" collapsed="false">
      <c r="A322" s="29" t="s">
        <v>488</v>
      </c>
      <c r="B322" s="14" t="s">
        <v>101</v>
      </c>
      <c r="C322" s="14" t="s">
        <v>102</v>
      </c>
      <c r="D322" s="21" t="s">
        <v>103</v>
      </c>
      <c r="E322" s="10" t="s">
        <v>104</v>
      </c>
      <c r="F322" s="12" t="s">
        <v>105</v>
      </c>
      <c r="G322" s="12"/>
      <c r="H322" s="13"/>
      <c r="I322" s="19" t="str">
        <f aca="false">CONCATENATE(B322, CHAR(10), D322, CHAR(10), "Tax ID: ", F322)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</row>
    <row r="323" customFormat="false" ht="49.25" hidden="false" customHeight="false" outlineLevel="0" collapsed="false">
      <c r="A323" s="29" t="s">
        <v>489</v>
      </c>
      <c r="B323" s="14" t="s">
        <v>101</v>
      </c>
      <c r="C323" s="14" t="s">
        <v>102</v>
      </c>
      <c r="D323" s="21" t="s">
        <v>103</v>
      </c>
      <c r="E323" s="10" t="s">
        <v>104</v>
      </c>
      <c r="F323" s="12" t="s">
        <v>105</v>
      </c>
      <c r="G323" s="12"/>
      <c r="H323" s="13"/>
      <c r="I323" s="19" t="str">
        <f aca="false">CONCATENATE(B323, CHAR(10), D323, CHAR(10), "Tax ID: ", F323)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</row>
    <row r="324" customFormat="false" ht="49.25" hidden="false" customHeight="false" outlineLevel="0" collapsed="false">
      <c r="A324" s="29" t="s">
        <v>490</v>
      </c>
      <c r="B324" s="9" t="s">
        <v>101</v>
      </c>
      <c r="C324" s="9" t="s">
        <v>102</v>
      </c>
      <c r="D324" s="18" t="s">
        <v>103</v>
      </c>
      <c r="E324" s="5" t="s">
        <v>104</v>
      </c>
      <c r="F324" s="7" t="s">
        <v>105</v>
      </c>
      <c r="G324" s="7"/>
      <c r="H324" s="8"/>
      <c r="I324" s="19" t="str">
        <f aca="false">CONCATENATE(B324, CHAR(10), D324, CHAR(10), "Tax ID: ", F324)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</row>
    <row r="325" customFormat="false" ht="49.25" hidden="false" customHeight="false" outlineLevel="0" collapsed="false">
      <c r="A325" s="29" t="n">
        <v>72053</v>
      </c>
      <c r="B325" s="9" t="s">
        <v>101</v>
      </c>
      <c r="C325" s="9" t="s">
        <v>102</v>
      </c>
      <c r="D325" s="18" t="s">
        <v>103</v>
      </c>
      <c r="E325" s="5" t="s">
        <v>104</v>
      </c>
      <c r="F325" s="7" t="s">
        <v>105</v>
      </c>
      <c r="G325" s="7" t="n">
        <v>72053</v>
      </c>
      <c r="H325" s="8" t="n">
        <v>72053</v>
      </c>
      <c r="I325" s="19" t="str">
        <f aca="false">CONCATENATE(B325, CHAR(10), D325, CHAR(10), "Tax ID: ", F325)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</row>
    <row r="326" customFormat="false" ht="49.25" hidden="false" customHeight="false" outlineLevel="0" collapsed="false">
      <c r="A326" s="14" t="s">
        <v>491</v>
      </c>
      <c r="B326" s="14" t="s">
        <v>101</v>
      </c>
      <c r="C326" s="14" t="s">
        <v>102</v>
      </c>
      <c r="D326" s="21" t="s">
        <v>103</v>
      </c>
      <c r="E326" s="10" t="s">
        <v>104</v>
      </c>
      <c r="F326" s="12" t="s">
        <v>105</v>
      </c>
      <c r="G326" s="17" t="n">
        <v>7021</v>
      </c>
      <c r="H326" s="13" t="n">
        <v>70021</v>
      </c>
      <c r="I326" s="14" t="str">
        <f aca="false">CONCATENATE(B326, CHAR(10), D326, CHAR(10), "Tax ID: ", F326)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327" customFormat="false" ht="49.25" hidden="false" customHeight="false" outlineLevel="0" collapsed="false">
      <c r="A327" s="9" t="s">
        <v>492</v>
      </c>
      <c r="B327" s="5" t="s">
        <v>132</v>
      </c>
      <c r="C327" s="5" t="s">
        <v>133</v>
      </c>
      <c r="D327" s="6" t="s">
        <v>12</v>
      </c>
      <c r="E327" s="5" t="s">
        <v>13</v>
      </c>
      <c r="F327" s="7" t="s">
        <v>134</v>
      </c>
      <c r="G327" s="15" t="n">
        <v>4112</v>
      </c>
      <c r="H327" s="8" t="n">
        <v>40112</v>
      </c>
      <c r="I327" s="9" t="str">
        <f aca="false">CONCATENATE(B327, CHAR(10), D327, CHAR(10), "Tax ID: ", F327)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28" customFormat="false" ht="49.25" hidden="false" customHeight="false" outlineLevel="0" collapsed="false">
      <c r="A328" s="14" t="s">
        <v>493</v>
      </c>
      <c r="B328" s="10" t="s">
        <v>132</v>
      </c>
      <c r="C328" s="10" t="s">
        <v>133</v>
      </c>
      <c r="D328" s="11" t="s">
        <v>12</v>
      </c>
      <c r="E328" s="10" t="s">
        <v>13</v>
      </c>
      <c r="F328" s="12" t="s">
        <v>134</v>
      </c>
      <c r="G328" s="17" t="n">
        <v>4103</v>
      </c>
      <c r="H328" s="13" t="n">
        <v>40103</v>
      </c>
      <c r="I328" s="14" t="str">
        <f aca="false">CONCATENATE(B328, CHAR(10), D328, CHAR(10), "Tax ID: ", F328)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29" customFormat="false" ht="49.25" hidden="false" customHeight="false" outlineLevel="0" collapsed="false">
      <c r="A329" s="9" t="s">
        <v>494</v>
      </c>
      <c r="B329" s="5" t="s">
        <v>132</v>
      </c>
      <c r="C329" s="5" t="s">
        <v>133</v>
      </c>
      <c r="D329" s="6" t="s">
        <v>12</v>
      </c>
      <c r="E329" s="5" t="s">
        <v>13</v>
      </c>
      <c r="F329" s="7" t="s">
        <v>134</v>
      </c>
      <c r="G329" s="15" t="n">
        <v>4102</v>
      </c>
      <c r="H329" s="8" t="n">
        <v>40102</v>
      </c>
      <c r="I329" s="9" t="str">
        <f aca="false">CONCATENATE(B329, CHAR(10), D329, CHAR(10), "Tax ID: ", F329)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30" customFormat="false" ht="49.25" hidden="false" customHeight="false" outlineLevel="0" collapsed="false">
      <c r="A330" s="14" t="s">
        <v>495</v>
      </c>
      <c r="B330" s="10" t="s">
        <v>132</v>
      </c>
      <c r="C330" s="10" t="s">
        <v>133</v>
      </c>
      <c r="D330" s="11" t="s">
        <v>12</v>
      </c>
      <c r="E330" s="10" t="s">
        <v>13</v>
      </c>
      <c r="F330" s="12" t="s">
        <v>134</v>
      </c>
      <c r="G330" s="17" t="n">
        <v>4113</v>
      </c>
      <c r="H330" s="13" t="n">
        <v>40113</v>
      </c>
      <c r="I330" s="14" t="str">
        <f aca="false">CONCATENATE(B330, CHAR(10), D330, CHAR(10), "Tax ID: ", F330)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31" customFormat="false" ht="49.25" hidden="false" customHeight="false" outlineLevel="0" collapsed="false">
      <c r="A331" s="9" t="s">
        <v>496</v>
      </c>
      <c r="B331" s="9" t="s">
        <v>101</v>
      </c>
      <c r="C331" s="9" t="s">
        <v>102</v>
      </c>
      <c r="D331" s="18" t="s">
        <v>103</v>
      </c>
      <c r="E331" s="5" t="s">
        <v>104</v>
      </c>
      <c r="F331" s="7" t="s">
        <v>105</v>
      </c>
      <c r="G331" s="15" t="s">
        <v>497</v>
      </c>
      <c r="H331" s="30" t="str">
        <f aca="false">G331</f>
        <v>C137</v>
      </c>
      <c r="I331" s="9" t="str">
        <f aca="false">CONCATENATE(B331, CHAR(10), D331, CHAR(10), "Tax ID: ", F331)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332" customFormat="false" ht="49.25" hidden="false" customHeight="false" outlineLevel="0" collapsed="false">
      <c r="A332" s="14" t="s">
        <v>498</v>
      </c>
      <c r="B332" s="10" t="s">
        <v>132</v>
      </c>
      <c r="C332" s="10" t="s">
        <v>133</v>
      </c>
      <c r="D332" s="11" t="s">
        <v>12</v>
      </c>
      <c r="E332" s="10" t="s">
        <v>13</v>
      </c>
      <c r="F332" s="12" t="s">
        <v>134</v>
      </c>
      <c r="G332" s="17" t="n">
        <v>4101</v>
      </c>
      <c r="H332" s="13" t="n">
        <v>40101</v>
      </c>
      <c r="I332" s="14" t="str">
        <f aca="false">CONCATENATE(B332, CHAR(10), D332, CHAR(10), "Tax ID: ", F332)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33" customFormat="false" ht="49.25" hidden="false" customHeight="false" outlineLevel="0" collapsed="false">
      <c r="A333" s="9" t="s">
        <v>499</v>
      </c>
      <c r="B333" s="5" t="s">
        <v>132</v>
      </c>
      <c r="C333" s="5" t="s">
        <v>133</v>
      </c>
      <c r="D333" s="6" t="s">
        <v>12</v>
      </c>
      <c r="E333" s="5" t="s">
        <v>13</v>
      </c>
      <c r="F333" s="7" t="s">
        <v>134</v>
      </c>
      <c r="G333" s="15" t="n">
        <v>4109</v>
      </c>
      <c r="H333" s="8" t="n">
        <v>40109</v>
      </c>
      <c r="I333" s="9" t="str">
        <f aca="false">CONCATENATE(B333, CHAR(10), D333, CHAR(10), "Tax ID: ", F333)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34" customFormat="false" ht="49.25" hidden="false" customHeight="false" outlineLevel="0" collapsed="false">
      <c r="A334" s="14" t="s">
        <v>500</v>
      </c>
      <c r="B334" s="10" t="s">
        <v>132</v>
      </c>
      <c r="C334" s="10" t="s">
        <v>133</v>
      </c>
      <c r="D334" s="11" t="s">
        <v>12</v>
      </c>
      <c r="E334" s="10" t="s">
        <v>13</v>
      </c>
      <c r="F334" s="12" t="s">
        <v>134</v>
      </c>
      <c r="G334" s="17" t="n">
        <v>40094</v>
      </c>
      <c r="H334" s="13" t="n">
        <v>40094</v>
      </c>
      <c r="I334" s="14" t="str">
        <f aca="false">CONCATENATE(B334, CHAR(10), D334, CHAR(10), "Tax ID: ", F334)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35" customFormat="false" ht="49.25" hidden="false" customHeight="false" outlineLevel="0" collapsed="false">
      <c r="A335" s="9" t="s">
        <v>501</v>
      </c>
      <c r="B335" s="5" t="s">
        <v>132</v>
      </c>
      <c r="C335" s="5" t="s">
        <v>133</v>
      </c>
      <c r="D335" s="6" t="s">
        <v>12</v>
      </c>
      <c r="E335" s="5" t="s">
        <v>13</v>
      </c>
      <c r="F335" s="7" t="s">
        <v>134</v>
      </c>
      <c r="G335" s="15" t="n">
        <v>4061</v>
      </c>
      <c r="H335" s="8" t="n">
        <v>40061</v>
      </c>
      <c r="I335" s="9" t="str">
        <f aca="false">CONCATENATE(B335, CHAR(10), D335, CHAR(10), "Tax ID: ", F335)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36" customFormat="false" ht="49.25" hidden="false" customHeight="false" outlineLevel="0" collapsed="false">
      <c r="A336" s="14" t="s">
        <v>502</v>
      </c>
      <c r="B336" s="10" t="s">
        <v>132</v>
      </c>
      <c r="C336" s="10" t="s">
        <v>133</v>
      </c>
      <c r="D336" s="11" t="s">
        <v>12</v>
      </c>
      <c r="E336" s="10" t="s">
        <v>13</v>
      </c>
      <c r="F336" s="12" t="s">
        <v>134</v>
      </c>
      <c r="G336" s="17" t="n">
        <v>4107</v>
      </c>
      <c r="H336" s="13" t="n">
        <v>40107</v>
      </c>
      <c r="I336" s="14" t="str">
        <f aca="false">CONCATENATE(B336, CHAR(10), D336, CHAR(10), "Tax ID: ", F336)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37" customFormat="false" ht="49.25" hidden="false" customHeight="false" outlineLevel="0" collapsed="false">
      <c r="A337" s="9" t="s">
        <v>503</v>
      </c>
      <c r="B337" s="5" t="s">
        <v>132</v>
      </c>
      <c r="C337" s="5" t="s">
        <v>133</v>
      </c>
      <c r="D337" s="6" t="s">
        <v>12</v>
      </c>
      <c r="E337" s="5" t="s">
        <v>13</v>
      </c>
      <c r="F337" s="7" t="s">
        <v>134</v>
      </c>
      <c r="G337" s="15" t="n">
        <v>4108</v>
      </c>
      <c r="H337" s="8" t="n">
        <v>40108</v>
      </c>
      <c r="I337" s="9" t="str">
        <f aca="false">CONCATENATE(B337, CHAR(10), D337, CHAR(10), "Tax ID: ", F337)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38" customFormat="false" ht="49.25" hidden="false" customHeight="false" outlineLevel="0" collapsed="false">
      <c r="A338" s="14" t="s">
        <v>504</v>
      </c>
      <c r="B338" s="10" t="s">
        <v>132</v>
      </c>
      <c r="C338" s="10" t="s">
        <v>133</v>
      </c>
      <c r="D338" s="11" t="s">
        <v>12</v>
      </c>
      <c r="E338" s="10" t="s">
        <v>13</v>
      </c>
      <c r="F338" s="12" t="s">
        <v>134</v>
      </c>
      <c r="G338" s="17" t="n">
        <v>4096</v>
      </c>
      <c r="H338" s="13" t="n">
        <v>40096</v>
      </c>
      <c r="I338" s="14" t="str">
        <f aca="false">CONCATENATE(B338, CHAR(10), D338, CHAR(10), "Tax ID: ", F338)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39" customFormat="false" ht="49.25" hidden="false" customHeight="false" outlineLevel="0" collapsed="false">
      <c r="A339" s="9" t="s">
        <v>505</v>
      </c>
      <c r="B339" s="5" t="s">
        <v>132</v>
      </c>
      <c r="C339" s="5" t="s">
        <v>133</v>
      </c>
      <c r="D339" s="6" t="s">
        <v>12</v>
      </c>
      <c r="E339" s="5" t="s">
        <v>13</v>
      </c>
      <c r="F339" s="7" t="s">
        <v>134</v>
      </c>
      <c r="G339" s="15" t="n">
        <v>4100</v>
      </c>
      <c r="H339" s="8" t="n">
        <v>40100</v>
      </c>
      <c r="I339" s="9" t="str">
        <f aca="false">CONCATENATE(B339, CHAR(10), D339, CHAR(10), "Tax ID: ", F339)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40" customFormat="false" ht="49.25" hidden="false" customHeight="false" outlineLevel="0" collapsed="false">
      <c r="A340" s="14" t="s">
        <v>506</v>
      </c>
      <c r="B340" s="14" t="s">
        <v>101</v>
      </c>
      <c r="C340" s="14" t="s">
        <v>102</v>
      </c>
      <c r="D340" s="21" t="s">
        <v>103</v>
      </c>
      <c r="E340" s="10" t="s">
        <v>13</v>
      </c>
      <c r="F340" s="12" t="s">
        <v>105</v>
      </c>
      <c r="G340" s="17" t="n">
        <v>7101</v>
      </c>
      <c r="H340" s="13" t="n">
        <v>70101</v>
      </c>
      <c r="I340" s="14" t="str">
        <f aca="false">CONCATENATE(B340, CHAR(10), D340, CHAR(10), "Tax ID: ", F340)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341" customFormat="false" ht="49.25" hidden="false" customHeight="false" outlineLevel="0" collapsed="false">
      <c r="A341" s="9" t="s">
        <v>507</v>
      </c>
      <c r="B341" s="5" t="s">
        <v>132</v>
      </c>
      <c r="C341" s="5" t="s">
        <v>133</v>
      </c>
      <c r="D341" s="6" t="s">
        <v>12</v>
      </c>
      <c r="E341" s="5" t="s">
        <v>13</v>
      </c>
      <c r="F341" s="7" t="s">
        <v>134</v>
      </c>
      <c r="G341" s="15" t="n">
        <v>4085</v>
      </c>
      <c r="H341" s="8" t="n">
        <v>40085</v>
      </c>
      <c r="I341" s="9" t="str">
        <f aca="false">CONCATENATE(B341, CHAR(10), D341, CHAR(10), "Tax ID: ", F341)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42" customFormat="false" ht="49.25" hidden="false" customHeight="false" outlineLevel="0" collapsed="false">
      <c r="A342" s="14" t="s">
        <v>508</v>
      </c>
      <c r="B342" s="10" t="s">
        <v>132</v>
      </c>
      <c r="C342" s="10" t="s">
        <v>133</v>
      </c>
      <c r="D342" s="11" t="s">
        <v>12</v>
      </c>
      <c r="E342" s="10" t="s">
        <v>13</v>
      </c>
      <c r="F342" s="12" t="s">
        <v>134</v>
      </c>
      <c r="G342" s="17" t="n">
        <v>4058</v>
      </c>
      <c r="H342" s="13" t="n">
        <v>40058</v>
      </c>
      <c r="I342" s="14" t="str">
        <f aca="false">CONCATENATE(B342, CHAR(10), D342, CHAR(10), "Tax ID: ", F342)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43" customFormat="false" ht="49.25" hidden="false" customHeight="false" outlineLevel="0" collapsed="false">
      <c r="A343" s="9" t="s">
        <v>509</v>
      </c>
      <c r="B343" s="5" t="s">
        <v>203</v>
      </c>
      <c r="C343" s="5" t="s">
        <v>204</v>
      </c>
      <c r="D343" s="6" t="s">
        <v>12</v>
      </c>
      <c r="E343" s="5" t="s">
        <v>13</v>
      </c>
      <c r="F343" s="7" t="s">
        <v>205</v>
      </c>
      <c r="G343" s="15" t="n">
        <v>2050</v>
      </c>
      <c r="H343" s="8" t="n">
        <v>20050</v>
      </c>
      <c r="I343" s="9" t="str">
        <f aca="false">CONCATENATE(B343, CHAR(10), D343, CHAR(10), "Tax ID: ", F343)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344" customFormat="false" ht="49.25" hidden="false" customHeight="false" outlineLevel="0" collapsed="false">
      <c r="A344" s="14" t="s">
        <v>510</v>
      </c>
      <c r="B344" s="14" t="s">
        <v>511</v>
      </c>
      <c r="C344" s="14" t="s">
        <v>512</v>
      </c>
      <c r="D344" s="21" t="s">
        <v>442</v>
      </c>
      <c r="E344" s="14" t="s">
        <v>443</v>
      </c>
      <c r="F344" s="31" t="s">
        <v>513</v>
      </c>
      <c r="G344" s="17" t="s">
        <v>514</v>
      </c>
      <c r="H344" s="13" t="s">
        <v>515</v>
      </c>
      <c r="I344" s="14" t="str">
        <f aca="false">CONCATENATE(B344, CHAR(10), D344, CHAR(10), "Tax ID: ", F344)</f>
        <v>บริษัท เอพี เอ็มอี 20 จำกัด (สำนักงานใหญ่)
170/57 อาคารโอเชี่ยนทาวเวอร์ 1 ชั้น 18 ถนนรัชดาภิเษกตัดใหม่ 
แขวงคลองเตย เขตคลองเตย กรุงเทพฯ 10110
Tax ID: 0105562169842</v>
      </c>
    </row>
    <row r="345" customFormat="false" ht="49.25" hidden="false" customHeight="false" outlineLevel="0" collapsed="false">
      <c r="A345" s="9" t="s">
        <v>516</v>
      </c>
      <c r="B345" s="5" t="s">
        <v>132</v>
      </c>
      <c r="C345" s="9" t="s">
        <v>102</v>
      </c>
      <c r="D345" s="6" t="s">
        <v>12</v>
      </c>
      <c r="E345" s="9" t="s">
        <v>104</v>
      </c>
      <c r="F345" s="7" t="s">
        <v>134</v>
      </c>
      <c r="G345" s="15" t="n">
        <v>4115</v>
      </c>
      <c r="H345" s="8" t="n">
        <v>40115</v>
      </c>
      <c r="I345" s="9" t="str">
        <f aca="false">CONCATENATE(B345, CHAR(10), D345, CHAR(10), "Tax ID: ", F345)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46" customFormat="false" ht="49.25" hidden="false" customHeight="false" outlineLevel="0" collapsed="false">
      <c r="A346" s="14" t="s">
        <v>517</v>
      </c>
      <c r="B346" s="10" t="s">
        <v>132</v>
      </c>
      <c r="C346" s="10" t="s">
        <v>133</v>
      </c>
      <c r="D346" s="11" t="s">
        <v>12</v>
      </c>
      <c r="E346" s="10" t="s">
        <v>13</v>
      </c>
      <c r="F346" s="12" t="s">
        <v>134</v>
      </c>
      <c r="G346" s="17" t="n">
        <v>4111</v>
      </c>
      <c r="H346" s="13" t="n">
        <v>40111</v>
      </c>
      <c r="I346" s="14" t="str">
        <f aca="false">CONCATENATE(B346, CHAR(10), D346, CHAR(10), "Tax ID: ", F346)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47" customFormat="false" ht="49.25" hidden="false" customHeight="false" outlineLevel="0" collapsed="false">
      <c r="A347" s="9" t="s">
        <v>518</v>
      </c>
      <c r="B347" s="9" t="s">
        <v>101</v>
      </c>
      <c r="C347" s="9" t="s">
        <v>102</v>
      </c>
      <c r="D347" s="18" t="s">
        <v>103</v>
      </c>
      <c r="E347" s="5" t="s">
        <v>13</v>
      </c>
      <c r="F347" s="7" t="s">
        <v>105</v>
      </c>
      <c r="G347" s="15" t="n">
        <v>7105</v>
      </c>
      <c r="H347" s="8" t="n">
        <v>70105</v>
      </c>
      <c r="I347" s="9" t="str">
        <f aca="false">CONCATENATE(B347, CHAR(10), D347, CHAR(10), "Tax ID: ", F347)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348" customFormat="false" ht="49.25" hidden="false" customHeight="false" outlineLevel="0" collapsed="false">
      <c r="A348" s="14" t="s">
        <v>519</v>
      </c>
      <c r="B348" s="10" t="s">
        <v>203</v>
      </c>
      <c r="C348" s="10" t="s">
        <v>204</v>
      </c>
      <c r="D348" s="11" t="s">
        <v>12</v>
      </c>
      <c r="E348" s="10" t="s">
        <v>13</v>
      </c>
      <c r="F348" s="12" t="s">
        <v>205</v>
      </c>
      <c r="G348" s="17" t="n">
        <v>2048</v>
      </c>
      <c r="H348" s="13" t="n">
        <v>20048</v>
      </c>
      <c r="I348" s="14" t="str">
        <f aca="false">CONCATENATE(B348, CHAR(10), D348, CHAR(10), "Tax ID: ", F348)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349" customFormat="false" ht="49.25" hidden="false" customHeight="false" outlineLevel="0" collapsed="false">
      <c r="A349" s="9" t="s">
        <v>520</v>
      </c>
      <c r="B349" s="5" t="s">
        <v>203</v>
      </c>
      <c r="C349" s="5" t="s">
        <v>204</v>
      </c>
      <c r="D349" s="6" t="s">
        <v>12</v>
      </c>
      <c r="E349" s="5" t="s">
        <v>13</v>
      </c>
      <c r="F349" s="7" t="s">
        <v>205</v>
      </c>
      <c r="G349" s="15" t="n">
        <v>4105</v>
      </c>
      <c r="H349" s="8" t="n">
        <v>40105</v>
      </c>
      <c r="I349" s="9" t="str">
        <f aca="false">CONCATENATE(B349, CHAR(10), D349, CHAR(10), "Tax ID: ", F349)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350" customFormat="false" ht="49.25" hidden="false" customHeight="false" outlineLevel="0" collapsed="false">
      <c r="A350" s="14" t="s">
        <v>521</v>
      </c>
      <c r="B350" s="14" t="s">
        <v>101</v>
      </c>
      <c r="C350" s="14" t="s">
        <v>102</v>
      </c>
      <c r="D350" s="21" t="s">
        <v>103</v>
      </c>
      <c r="E350" s="10" t="s">
        <v>104</v>
      </c>
      <c r="F350" s="12" t="s">
        <v>105</v>
      </c>
      <c r="G350" s="17" t="n">
        <v>7111</v>
      </c>
      <c r="H350" s="13" t="n">
        <v>70111</v>
      </c>
      <c r="I350" s="14" t="str">
        <f aca="false">CONCATENATE(B350, CHAR(10), D350, CHAR(10), "Tax ID: ", F350)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351" customFormat="false" ht="49.25" hidden="false" customHeight="false" outlineLevel="0" collapsed="false">
      <c r="A351" s="9" t="s">
        <v>522</v>
      </c>
      <c r="B351" s="5" t="s">
        <v>132</v>
      </c>
      <c r="C351" s="5" t="s">
        <v>133</v>
      </c>
      <c r="D351" s="6" t="s">
        <v>12</v>
      </c>
      <c r="E351" s="5" t="s">
        <v>13</v>
      </c>
      <c r="F351" s="7" t="s">
        <v>134</v>
      </c>
      <c r="G351" s="15" t="n">
        <v>4129</v>
      </c>
      <c r="H351" s="8" t="n">
        <v>40129</v>
      </c>
      <c r="I351" s="9" t="str">
        <f aca="false">CONCATENATE(B351, CHAR(10), D351, CHAR(10), "Tax ID: ", F351)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52" customFormat="false" ht="49.25" hidden="false" customHeight="false" outlineLevel="0" collapsed="false">
      <c r="A352" s="14" t="s">
        <v>523</v>
      </c>
      <c r="B352" s="14" t="s">
        <v>101</v>
      </c>
      <c r="C352" s="14" t="s">
        <v>102</v>
      </c>
      <c r="D352" s="21" t="s">
        <v>103</v>
      </c>
      <c r="E352" s="10" t="s">
        <v>13</v>
      </c>
      <c r="F352" s="12" t="s">
        <v>105</v>
      </c>
      <c r="G352" s="17" t="s">
        <v>524</v>
      </c>
      <c r="H352" s="13" t="n">
        <v>70117</v>
      </c>
      <c r="I352" s="14" t="str">
        <f aca="false">CONCATENATE(B352, CHAR(10), D352, CHAR(10), "Tax ID: ", F352)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353" customFormat="false" ht="49.25" hidden="false" customHeight="false" outlineLevel="0" collapsed="false">
      <c r="A353" s="9" t="s">
        <v>525</v>
      </c>
      <c r="B353" s="9" t="s">
        <v>101</v>
      </c>
      <c r="C353" s="9" t="s">
        <v>102</v>
      </c>
      <c r="D353" s="18" t="s">
        <v>103</v>
      </c>
      <c r="E353" s="5" t="s">
        <v>13</v>
      </c>
      <c r="F353" s="7" t="s">
        <v>105</v>
      </c>
      <c r="G353" s="15" t="n">
        <v>7040</v>
      </c>
      <c r="H353" s="15" t="n">
        <v>70040</v>
      </c>
      <c r="I353" s="9" t="str">
        <f aca="false">CONCATENATE(B353, CHAR(10), D353, CHAR(10), "Tax ID: ", F353)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354" customFormat="false" ht="49.25" hidden="false" customHeight="false" outlineLevel="0" collapsed="false">
      <c r="A354" s="14" t="s">
        <v>526</v>
      </c>
      <c r="B354" s="14" t="s">
        <v>101</v>
      </c>
      <c r="C354" s="14" t="s">
        <v>102</v>
      </c>
      <c r="D354" s="21" t="s">
        <v>103</v>
      </c>
      <c r="E354" s="10" t="s">
        <v>13</v>
      </c>
      <c r="F354" s="12" t="s">
        <v>105</v>
      </c>
      <c r="G354" s="17" t="n">
        <v>7000</v>
      </c>
      <c r="H354" s="24" t="n">
        <v>70000</v>
      </c>
      <c r="I354" s="14" t="str">
        <f aca="false">CONCATENATE(B354, CHAR(10), D354, CHAR(10), "Tax ID: ", F354)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355" customFormat="false" ht="49.25" hidden="false" customHeight="false" outlineLevel="0" collapsed="false">
      <c r="A355" s="9" t="s">
        <v>527</v>
      </c>
      <c r="B355" s="5" t="s">
        <v>132</v>
      </c>
      <c r="C355" s="5" t="s">
        <v>133</v>
      </c>
      <c r="D355" s="6" t="s">
        <v>12</v>
      </c>
      <c r="E355" s="5" t="s">
        <v>13</v>
      </c>
      <c r="F355" s="7" t="s">
        <v>134</v>
      </c>
      <c r="G355" s="15" t="n">
        <v>4116</v>
      </c>
      <c r="H355" s="8" t="n">
        <v>40116</v>
      </c>
      <c r="I355" s="9" t="str">
        <f aca="false">CONCATENATE(B355, CHAR(10), D355, CHAR(10), "Tax ID: ", F355)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56" customFormat="false" ht="49.25" hidden="false" customHeight="false" outlineLevel="0" collapsed="false">
      <c r="A356" s="14" t="s">
        <v>528</v>
      </c>
      <c r="B356" s="10" t="s">
        <v>132</v>
      </c>
      <c r="C356" s="10" t="s">
        <v>133</v>
      </c>
      <c r="D356" s="11" t="s">
        <v>12</v>
      </c>
      <c r="E356" s="10" t="s">
        <v>13</v>
      </c>
      <c r="F356" s="12" t="s">
        <v>134</v>
      </c>
      <c r="G356" s="17" t="n">
        <v>4118</v>
      </c>
      <c r="H356" s="13" t="n">
        <v>40118</v>
      </c>
      <c r="I356" s="14" t="str">
        <f aca="false">CONCATENATE(B356, CHAR(10), D356, CHAR(10), "Tax ID: ", F356)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57" customFormat="false" ht="49.25" hidden="false" customHeight="false" outlineLevel="0" collapsed="false">
      <c r="A357" s="9" t="s">
        <v>529</v>
      </c>
      <c r="B357" s="5" t="s">
        <v>132</v>
      </c>
      <c r="C357" s="5" t="s">
        <v>133</v>
      </c>
      <c r="D357" s="6" t="s">
        <v>12</v>
      </c>
      <c r="E357" s="5" t="s">
        <v>13</v>
      </c>
      <c r="F357" s="7" t="s">
        <v>134</v>
      </c>
      <c r="G357" s="15" t="n">
        <v>4119</v>
      </c>
      <c r="H357" s="8" t="n">
        <v>40119</v>
      </c>
      <c r="I357" s="9" t="str">
        <f aca="false">CONCATENATE(B357, CHAR(10), D357, CHAR(10), "Tax ID: ", F357)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58" customFormat="false" ht="49.25" hidden="false" customHeight="false" outlineLevel="0" collapsed="false">
      <c r="A358" s="14" t="s">
        <v>530</v>
      </c>
      <c r="B358" s="10" t="s">
        <v>132</v>
      </c>
      <c r="C358" s="10" t="s">
        <v>133</v>
      </c>
      <c r="D358" s="11" t="s">
        <v>12</v>
      </c>
      <c r="E358" s="10" t="s">
        <v>13</v>
      </c>
      <c r="F358" s="12" t="s">
        <v>134</v>
      </c>
      <c r="G358" s="17" t="n">
        <v>4125</v>
      </c>
      <c r="H358" s="13" t="str">
        <f aca="false">"MK"&amp;G358</f>
        <v>MK4125</v>
      </c>
      <c r="I358" s="14" t="str">
        <f aca="false">CONCATENATE(B358, CHAR(10), D358, CHAR(10), "Tax ID: ", F358)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59" customFormat="false" ht="49.25" hidden="false" customHeight="false" outlineLevel="0" collapsed="false">
      <c r="A359" s="9" t="s">
        <v>531</v>
      </c>
      <c r="B359" s="9" t="s">
        <v>101</v>
      </c>
      <c r="C359" s="9" t="s">
        <v>102</v>
      </c>
      <c r="D359" s="18" t="s">
        <v>103</v>
      </c>
      <c r="E359" s="5" t="s">
        <v>13</v>
      </c>
      <c r="F359" s="7" t="s">
        <v>105</v>
      </c>
      <c r="G359" s="15" t="n">
        <v>7114</v>
      </c>
      <c r="H359" s="8"/>
      <c r="I359" s="9" t="str">
        <f aca="false">CONCATENATE(B359, CHAR(10), D359, CHAR(10), "Tax ID: ", F359)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360" customFormat="false" ht="49.25" hidden="false" customHeight="false" outlineLevel="0" collapsed="false">
      <c r="A360" s="14" t="s">
        <v>532</v>
      </c>
      <c r="B360" s="14" t="s">
        <v>101</v>
      </c>
      <c r="C360" s="14" t="s">
        <v>102</v>
      </c>
      <c r="D360" s="21" t="s">
        <v>103</v>
      </c>
      <c r="E360" s="10" t="s">
        <v>13</v>
      </c>
      <c r="F360" s="12" t="s">
        <v>105</v>
      </c>
      <c r="G360" s="13" t="n">
        <v>70104</v>
      </c>
      <c r="H360" s="13" t="str">
        <f aca="false">"MK"&amp;G360</f>
        <v>MK70104</v>
      </c>
      <c r="I360" s="14" t="str">
        <f aca="false">CONCATENATE(B360, CHAR(10), D360, CHAR(10), "Tax ID: ", F360)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361" customFormat="false" ht="49.25" hidden="false" customHeight="false" outlineLevel="0" collapsed="false">
      <c r="A361" s="9" t="s">
        <v>533</v>
      </c>
      <c r="B361" s="5" t="s">
        <v>132</v>
      </c>
      <c r="C361" s="5" t="s">
        <v>133</v>
      </c>
      <c r="D361" s="6" t="s">
        <v>12</v>
      </c>
      <c r="E361" s="5" t="s">
        <v>13</v>
      </c>
      <c r="F361" s="7" t="s">
        <v>134</v>
      </c>
      <c r="G361" s="15" t="n">
        <v>40128</v>
      </c>
      <c r="H361" s="13" t="str">
        <f aca="false">"MK"&amp;G361</f>
        <v>MK40128</v>
      </c>
      <c r="I361" s="9" t="str">
        <f aca="false">CONCATENATE(B361, CHAR(10), D361, CHAR(10), "Tax ID: ", F361)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62" customFormat="false" ht="49.25" hidden="false" customHeight="false" outlineLevel="0" collapsed="false">
      <c r="A362" s="14" t="s">
        <v>534</v>
      </c>
      <c r="B362" s="10" t="s">
        <v>132</v>
      </c>
      <c r="C362" s="10" t="s">
        <v>133</v>
      </c>
      <c r="D362" s="11" t="s">
        <v>12</v>
      </c>
      <c r="E362" s="10" t="s">
        <v>13</v>
      </c>
      <c r="F362" s="12" t="s">
        <v>134</v>
      </c>
      <c r="G362" s="17" t="n">
        <v>40122</v>
      </c>
      <c r="H362" s="13" t="str">
        <f aca="false">"MK"&amp;G362</f>
        <v>MK40122</v>
      </c>
      <c r="I362" s="14" t="str">
        <f aca="false">CONCATENATE(B362, CHAR(10), D362, CHAR(10), "Tax ID: ", F362)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63" customFormat="false" ht="49.25" hidden="false" customHeight="false" outlineLevel="0" collapsed="false">
      <c r="A363" s="9" t="s">
        <v>535</v>
      </c>
      <c r="B363" s="9" t="s">
        <v>101</v>
      </c>
      <c r="C363" s="9" t="s">
        <v>102</v>
      </c>
      <c r="D363" s="18" t="s">
        <v>103</v>
      </c>
      <c r="E363" s="5" t="s">
        <v>13</v>
      </c>
      <c r="F363" s="7" t="s">
        <v>105</v>
      </c>
      <c r="G363" s="7"/>
      <c r="H363" s="8"/>
      <c r="I363" s="9" t="str">
        <f aca="false">CONCATENATE(B363, CHAR(10), D363, CHAR(10), "Tax ID: ", F363)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364" customFormat="false" ht="49.25" hidden="false" customHeight="false" outlineLevel="0" collapsed="false">
      <c r="A364" s="14" t="s">
        <v>536</v>
      </c>
      <c r="B364" s="14" t="s">
        <v>101</v>
      </c>
      <c r="C364" s="14" t="s">
        <v>102</v>
      </c>
      <c r="D364" s="21" t="s">
        <v>103</v>
      </c>
      <c r="E364" s="10" t="s">
        <v>13</v>
      </c>
      <c r="F364" s="12" t="s">
        <v>105</v>
      </c>
      <c r="G364" s="12"/>
      <c r="H364" s="13"/>
      <c r="I364" s="14" t="str">
        <f aca="false">CONCATENATE(B364, CHAR(10), D364, CHAR(10), "Tax ID: ", F364)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365" customFormat="false" ht="49.25" hidden="false" customHeight="false" outlineLevel="0" collapsed="false">
      <c r="A365" s="9" t="s">
        <v>537</v>
      </c>
      <c r="B365" s="5" t="s">
        <v>132</v>
      </c>
      <c r="C365" s="5" t="s">
        <v>133</v>
      </c>
      <c r="D365" s="6" t="s">
        <v>12</v>
      </c>
      <c r="E365" s="5" t="s">
        <v>13</v>
      </c>
      <c r="F365" s="7" t="s">
        <v>134</v>
      </c>
      <c r="G365" s="15"/>
      <c r="H365" s="8"/>
      <c r="I365" s="9" t="str">
        <f aca="false">CONCATENATE(B365, CHAR(10), D365, CHAR(10), "Tax ID: ", F365)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66" customFormat="false" ht="49.25" hidden="false" customHeight="false" outlineLevel="0" collapsed="false">
      <c r="A366" s="14" t="s">
        <v>538</v>
      </c>
      <c r="B366" s="10" t="s">
        <v>132</v>
      </c>
      <c r="C366" s="10" t="s">
        <v>133</v>
      </c>
      <c r="D366" s="11" t="s">
        <v>12</v>
      </c>
      <c r="E366" s="10" t="s">
        <v>13</v>
      </c>
      <c r="F366" s="12" t="s">
        <v>134</v>
      </c>
      <c r="G366" s="17"/>
      <c r="H366" s="13"/>
      <c r="I366" s="14" t="str">
        <f aca="false">CONCATENATE(B366, CHAR(10), D366, CHAR(10), "Tax ID: ", F366)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67" customFormat="false" ht="49.25" hidden="false" customHeight="false" outlineLevel="0" collapsed="false">
      <c r="A367" s="9" t="s">
        <v>539</v>
      </c>
      <c r="B367" s="5" t="s">
        <v>132</v>
      </c>
      <c r="C367" s="5" t="s">
        <v>133</v>
      </c>
      <c r="D367" s="6" t="s">
        <v>12</v>
      </c>
      <c r="E367" s="5" t="s">
        <v>13</v>
      </c>
      <c r="F367" s="7" t="s">
        <v>134</v>
      </c>
      <c r="G367" s="15"/>
      <c r="H367" s="8"/>
      <c r="I367" s="9" t="str">
        <f aca="false">CONCATENATE(B367, CHAR(10), D367, CHAR(10), "Tax ID: ", F367)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68" customFormat="false" ht="49.25" hidden="false" customHeight="false" outlineLevel="0" collapsed="false">
      <c r="A368" s="14" t="s">
        <v>540</v>
      </c>
      <c r="B368" s="14" t="s">
        <v>101</v>
      </c>
      <c r="C368" s="14" t="s">
        <v>102</v>
      </c>
      <c r="D368" s="21" t="s">
        <v>103</v>
      </c>
      <c r="E368" s="10" t="s">
        <v>13</v>
      </c>
      <c r="F368" s="12" t="s">
        <v>105</v>
      </c>
      <c r="G368" s="12"/>
      <c r="H368" s="13"/>
      <c r="I368" s="14" t="str">
        <f aca="false">CONCATENATE(B368, CHAR(10), D368, CHAR(10), "Tax ID: ", F368)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369" customFormat="false" ht="49.25" hidden="false" customHeight="false" outlineLevel="0" collapsed="false">
      <c r="A369" s="9" t="s">
        <v>541</v>
      </c>
      <c r="B369" s="9" t="s">
        <v>101</v>
      </c>
      <c r="C369" s="9" t="s">
        <v>102</v>
      </c>
      <c r="D369" s="18" t="s">
        <v>103</v>
      </c>
      <c r="E369" s="5" t="s">
        <v>13</v>
      </c>
      <c r="F369" s="7" t="s">
        <v>105</v>
      </c>
      <c r="G369" s="7"/>
      <c r="H369" s="8"/>
      <c r="I369" s="9" t="str">
        <f aca="false">CONCATENATE(B369, CHAR(10), D369, CHAR(10), "Tax ID: ", F369)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370" customFormat="false" ht="49.25" hidden="false" customHeight="false" outlineLevel="0" collapsed="false">
      <c r="A370" s="14" t="s">
        <v>542</v>
      </c>
      <c r="B370" s="14" t="s">
        <v>101</v>
      </c>
      <c r="C370" s="14" t="s">
        <v>102</v>
      </c>
      <c r="D370" s="21" t="s">
        <v>103</v>
      </c>
      <c r="E370" s="10" t="s">
        <v>13</v>
      </c>
      <c r="F370" s="12" t="s">
        <v>105</v>
      </c>
      <c r="G370" s="17" t="n">
        <v>70119</v>
      </c>
      <c r="H370" s="13" t="str">
        <f aca="false">"MK"&amp;G370</f>
        <v>MK70119</v>
      </c>
      <c r="I370" s="14" t="str">
        <f aca="false">CONCATENATE(B370, CHAR(10), D370, CHAR(10), "Tax ID: ", F370)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371" customFormat="false" ht="49.25" hidden="false" customHeight="false" outlineLevel="0" collapsed="false">
      <c r="A371" s="9" t="s">
        <v>543</v>
      </c>
      <c r="B371" s="9" t="s">
        <v>101</v>
      </c>
      <c r="C371" s="9" t="s">
        <v>102</v>
      </c>
      <c r="D371" s="18" t="s">
        <v>103</v>
      </c>
      <c r="E371" s="5" t="s">
        <v>13</v>
      </c>
      <c r="F371" s="7" t="s">
        <v>105</v>
      </c>
      <c r="G371" s="7"/>
      <c r="H371" s="8"/>
      <c r="I371" s="9" t="str">
        <f aca="false">CONCATENATE(B371, CHAR(10), D371, CHAR(10), "Tax ID: ", F371)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372" customFormat="false" ht="49.25" hidden="false" customHeight="false" outlineLevel="0" collapsed="false">
      <c r="A372" s="14" t="s">
        <v>544</v>
      </c>
      <c r="B372" s="14" t="s">
        <v>101</v>
      </c>
      <c r="C372" s="14" t="s">
        <v>102</v>
      </c>
      <c r="D372" s="21" t="s">
        <v>103</v>
      </c>
      <c r="E372" s="10" t="s">
        <v>13</v>
      </c>
      <c r="F372" s="12" t="s">
        <v>105</v>
      </c>
      <c r="G372" s="12"/>
      <c r="H372" s="13"/>
      <c r="I372" s="14" t="str">
        <f aca="false">CONCATENATE(B372, CHAR(10), D372, CHAR(10), "Tax ID: ", F372)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373" customFormat="false" ht="49.25" hidden="false" customHeight="false" outlineLevel="0" collapsed="false">
      <c r="A373" s="9" t="s">
        <v>545</v>
      </c>
      <c r="B373" s="9" t="s">
        <v>101</v>
      </c>
      <c r="C373" s="9" t="s">
        <v>102</v>
      </c>
      <c r="D373" s="18" t="s">
        <v>103</v>
      </c>
      <c r="E373" s="5" t="s">
        <v>13</v>
      </c>
      <c r="F373" s="7" t="s">
        <v>105</v>
      </c>
      <c r="G373" s="7"/>
      <c r="H373" s="8"/>
      <c r="I373" s="9" t="str">
        <f aca="false">CONCATENATE(B373, CHAR(10), D373, CHAR(10), "Tax ID: ", F373)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374" customFormat="false" ht="49.25" hidden="false" customHeight="false" outlineLevel="0" collapsed="false">
      <c r="A374" s="14" t="s">
        <v>546</v>
      </c>
      <c r="B374" s="14" t="s">
        <v>132</v>
      </c>
      <c r="C374" s="14" t="s">
        <v>133</v>
      </c>
      <c r="D374" s="21" t="s">
        <v>12</v>
      </c>
      <c r="E374" s="10" t="s">
        <v>13</v>
      </c>
      <c r="F374" s="12" t="s">
        <v>134</v>
      </c>
      <c r="G374" s="12"/>
      <c r="H374" s="13"/>
      <c r="I374" s="14" t="str">
        <f aca="false">CONCATENATE(B374, CHAR(10), D374, CHAR(10), "Tax ID: ", F374)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75" customFormat="false" ht="49.25" hidden="false" customHeight="false" outlineLevel="0" collapsed="false">
      <c r="A375" s="9" t="s">
        <v>547</v>
      </c>
      <c r="B375" s="9" t="s">
        <v>101</v>
      </c>
      <c r="C375" s="9" t="s">
        <v>102</v>
      </c>
      <c r="D375" s="18" t="s">
        <v>103</v>
      </c>
      <c r="E375" s="5" t="s">
        <v>13</v>
      </c>
      <c r="F375" s="7" t="s">
        <v>105</v>
      </c>
      <c r="G375" s="7"/>
      <c r="H375" s="8"/>
      <c r="I375" s="9" t="str">
        <f aca="false">CONCATENATE(B375, CHAR(10), D375, CHAR(10), "Tax ID: ", F375)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376" customFormat="false" ht="49.25" hidden="false" customHeight="false" outlineLevel="0" collapsed="false">
      <c r="A376" s="14" t="s">
        <v>548</v>
      </c>
      <c r="B376" s="14" t="s">
        <v>132</v>
      </c>
      <c r="C376" s="14" t="s">
        <v>133</v>
      </c>
      <c r="D376" s="21" t="s">
        <v>12</v>
      </c>
      <c r="E376" s="10" t="s">
        <v>13</v>
      </c>
      <c r="F376" s="12" t="s">
        <v>134</v>
      </c>
      <c r="G376" s="13" t="s">
        <v>549</v>
      </c>
      <c r="H376" s="13" t="s">
        <v>549</v>
      </c>
      <c r="I376" s="14" t="str">
        <f aca="false">CONCATENATE(B376, CHAR(10), D376, CHAR(10), "Tax ID: ", F376)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77" customFormat="false" ht="49.25" hidden="false" customHeight="false" outlineLevel="0" collapsed="false">
      <c r="A377" s="1" t="s">
        <v>550</v>
      </c>
      <c r="B377" s="1" t="s">
        <v>101</v>
      </c>
      <c r="C377" s="1" t="s">
        <v>102</v>
      </c>
      <c r="D377" s="32" t="s">
        <v>103</v>
      </c>
      <c r="E377" s="33" t="s">
        <v>13</v>
      </c>
      <c r="F377" s="34" t="s">
        <v>105</v>
      </c>
      <c r="G377" s="2" t="s">
        <v>551</v>
      </c>
      <c r="H377" s="2" t="s">
        <v>551</v>
      </c>
      <c r="I377" s="1" t="str">
        <f aca="false">CONCATENATE(B377, CHAR(10), D377, CHAR(10), "Tax ID: ", F377)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378" customFormat="false" ht="49.25" hidden="false" customHeight="false" outlineLevel="0" collapsed="false">
      <c r="A378" s="1" t="s">
        <v>552</v>
      </c>
      <c r="B378" s="14" t="s">
        <v>132</v>
      </c>
      <c r="C378" s="14" t="s">
        <v>133</v>
      </c>
      <c r="D378" s="21" t="s">
        <v>12</v>
      </c>
      <c r="E378" s="10" t="s">
        <v>13</v>
      </c>
      <c r="F378" s="12" t="s">
        <v>134</v>
      </c>
      <c r="G378" s="2" t="n">
        <v>40136</v>
      </c>
      <c r="H378" s="2" t="s">
        <v>553</v>
      </c>
      <c r="I378" s="14" t="str">
        <f aca="false">CONCATENATE(B378, CHAR(10), D378, CHAR(10), "Tax ID: ", F378)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79" customFormat="false" ht="49.25" hidden="false" customHeight="false" outlineLevel="0" collapsed="false">
      <c r="A379" s="1" t="s">
        <v>554</v>
      </c>
      <c r="B379" s="14" t="s">
        <v>132</v>
      </c>
      <c r="C379" s="14" t="s">
        <v>133</v>
      </c>
      <c r="D379" s="21" t="s">
        <v>12</v>
      </c>
      <c r="E379" s="10" t="s">
        <v>13</v>
      </c>
      <c r="F379" s="12" t="s">
        <v>134</v>
      </c>
      <c r="I379" s="14" t="str">
        <f aca="false">CONCATENATE(B379, CHAR(10), D379, CHAR(10), "Tax ID: ", F379)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80" customFormat="false" ht="49.25" hidden="false" customHeight="false" outlineLevel="0" collapsed="false">
      <c r="A380" s="1" t="s">
        <v>555</v>
      </c>
      <c r="B380" s="1" t="s">
        <v>101</v>
      </c>
      <c r="C380" s="1" t="s">
        <v>102</v>
      </c>
      <c r="D380" s="32" t="s">
        <v>103</v>
      </c>
      <c r="E380" s="33" t="s">
        <v>13</v>
      </c>
      <c r="F380" s="34" t="s">
        <v>105</v>
      </c>
      <c r="G380" s="34"/>
      <c r="I380" s="1" t="str">
        <f aca="false">CONCATENATE(B380, CHAR(10), D380, CHAR(10), "Tax ID: ", F380)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381" customFormat="false" ht="49.25" hidden="false" customHeight="false" outlineLevel="0" collapsed="false">
      <c r="A381" s="1" t="s">
        <v>556</v>
      </c>
      <c r="B381" s="10" t="s">
        <v>203</v>
      </c>
      <c r="C381" s="14" t="s">
        <v>204</v>
      </c>
      <c r="D381" s="11" t="s">
        <v>12</v>
      </c>
      <c r="E381" s="14" t="s">
        <v>13</v>
      </c>
      <c r="F381" s="12" t="s">
        <v>205</v>
      </c>
      <c r="G381" s="13" t="s">
        <v>557</v>
      </c>
      <c r="H381" s="13" t="s">
        <v>557</v>
      </c>
      <c r="I381" s="14" t="str">
        <f aca="false">CONCATENATE(B381, CHAR(10), D381, CHAR(10), "Tax ID: ", F381)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382" customFormat="false" ht="49.25" hidden="false" customHeight="false" outlineLevel="0" collapsed="false">
      <c r="A382" s="1" t="s">
        <v>558</v>
      </c>
      <c r="B382" s="1" t="s">
        <v>559</v>
      </c>
      <c r="D382" s="32" t="s">
        <v>560</v>
      </c>
      <c r="F382" s="34" t="s">
        <v>561</v>
      </c>
      <c r="G382" s="2" t="s">
        <v>562</v>
      </c>
      <c r="H382" s="2" t="s">
        <v>562</v>
      </c>
      <c r="I382" s="1" t="str">
        <f aca="false">CONCATENATE(B382, CHAR(10), D382, CHAR(10), "Tax ID: ", F382)</f>
        <v>บริษัท เอพี เอ็มอี 21 จำกัด (สำนักงานใหญ่)
170/57 อาคารโอเชี่ยนทาวเวอร์ 1 ชั้น 18 ถนนรัชดาภิเษกตัดใหม่
แขวงคลองเตย เขตคลองเตย กรุงเทพฯ 10110
Tax ID: 0105566029336</v>
      </c>
    </row>
    <row r="383" customFormat="false" ht="49.25" hidden="false" customHeight="false" outlineLevel="0" collapsed="false">
      <c r="A383" s="1" t="s">
        <v>563</v>
      </c>
      <c r="B383" s="1" t="s">
        <v>101</v>
      </c>
      <c r="C383" s="1" t="s">
        <v>102</v>
      </c>
      <c r="D383" s="32" t="s">
        <v>103</v>
      </c>
      <c r="E383" s="33" t="s">
        <v>13</v>
      </c>
      <c r="F383" s="34" t="s">
        <v>105</v>
      </c>
      <c r="G383" s="2" t="s">
        <v>564</v>
      </c>
      <c r="H383" s="2" t="s">
        <v>564</v>
      </c>
      <c r="I383" s="1" t="str">
        <f aca="false">CONCATENATE(B383, CHAR(10), D383, CHAR(10), "Tax ID: ", F383)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384" customFormat="false" ht="49.25" hidden="false" customHeight="false" outlineLevel="0" collapsed="false">
      <c r="A384" s="1" t="s">
        <v>565</v>
      </c>
      <c r="B384" s="1" t="s">
        <v>101</v>
      </c>
      <c r="C384" s="1" t="s">
        <v>102</v>
      </c>
      <c r="D384" s="32" t="s">
        <v>103</v>
      </c>
      <c r="E384" s="33" t="s">
        <v>13</v>
      </c>
      <c r="F384" s="34" t="s">
        <v>105</v>
      </c>
      <c r="G384" s="2" t="s">
        <v>566</v>
      </c>
      <c r="H384" s="2" t="s">
        <v>566</v>
      </c>
      <c r="I384" s="1" t="str">
        <f aca="false">CONCATENATE(B384, CHAR(10), D384, CHAR(10), "Tax ID: ", F384)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385" customFormat="false" ht="49.25" hidden="false" customHeight="false" outlineLevel="0" collapsed="false">
      <c r="A385" s="1" t="s">
        <v>567</v>
      </c>
      <c r="B385" s="14" t="s">
        <v>132</v>
      </c>
      <c r="C385" s="14" t="s">
        <v>133</v>
      </c>
      <c r="D385" s="21" t="s">
        <v>12</v>
      </c>
      <c r="E385" s="10" t="s">
        <v>13</v>
      </c>
      <c r="F385" s="12" t="s">
        <v>134</v>
      </c>
      <c r="G385" s="2" t="s">
        <v>568</v>
      </c>
      <c r="H385" s="2" t="s">
        <v>568</v>
      </c>
      <c r="I385" s="14" t="str">
        <f aca="false">CONCATENATE(B385, CHAR(10), D385, CHAR(10), "Tax ID: ", F385)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86" customFormat="false" ht="49.25" hidden="false" customHeight="false" outlineLevel="0" collapsed="false">
      <c r="A386" s="1" t="s">
        <v>569</v>
      </c>
      <c r="B386" s="1" t="s">
        <v>101</v>
      </c>
      <c r="C386" s="1" t="s">
        <v>102</v>
      </c>
      <c r="D386" s="32" t="s">
        <v>103</v>
      </c>
      <c r="E386" s="33" t="s">
        <v>13</v>
      </c>
      <c r="F386" s="34" t="s">
        <v>105</v>
      </c>
      <c r="G386" s="2" t="s">
        <v>570</v>
      </c>
      <c r="H386" s="2" t="s">
        <v>570</v>
      </c>
      <c r="I386" s="1" t="str">
        <f aca="false">CONCATENATE(B386, CHAR(10), D386, CHAR(10), "Tax ID: ", F386)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387" customFormat="false" ht="49.25" hidden="false" customHeight="false" outlineLevel="0" collapsed="false">
      <c r="A387" s="1" t="s">
        <v>571</v>
      </c>
      <c r="B387" s="14" t="s">
        <v>132</v>
      </c>
      <c r="C387" s="14" t="s">
        <v>133</v>
      </c>
      <c r="D387" s="21" t="s">
        <v>12</v>
      </c>
      <c r="E387" s="10" t="s">
        <v>13</v>
      </c>
      <c r="F387" s="12" t="s">
        <v>134</v>
      </c>
      <c r="G387" s="2" t="s">
        <v>572</v>
      </c>
      <c r="H387" s="2" t="s">
        <v>572</v>
      </c>
      <c r="I387" s="14" t="str">
        <f aca="false">CONCATENATE(B387, CHAR(10), D387, CHAR(10), "Tax ID: ", F387)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88" customFormat="false" ht="49.25" hidden="false" customHeight="false" outlineLevel="0" collapsed="false">
      <c r="A388" s="1" t="s">
        <v>573</v>
      </c>
      <c r="B388" s="14" t="s">
        <v>132</v>
      </c>
      <c r="C388" s="14" t="s">
        <v>133</v>
      </c>
      <c r="D388" s="21" t="s">
        <v>12</v>
      </c>
      <c r="E388" s="10" t="s">
        <v>13</v>
      </c>
      <c r="F388" s="12" t="s">
        <v>134</v>
      </c>
      <c r="G388" s="2" t="s">
        <v>574</v>
      </c>
      <c r="H388" s="2" t="s">
        <v>574</v>
      </c>
      <c r="I388" s="14" t="str">
        <f aca="false">CONCATENATE(B388, CHAR(10), D388, CHAR(10), "Tax ID: ", F388)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89" customFormat="false" ht="49.25" hidden="false" customHeight="false" outlineLevel="0" collapsed="false">
      <c r="A389" s="1" t="s">
        <v>575</v>
      </c>
      <c r="B389" s="14" t="s">
        <v>132</v>
      </c>
      <c r="C389" s="14" t="s">
        <v>133</v>
      </c>
      <c r="D389" s="21" t="s">
        <v>12</v>
      </c>
      <c r="E389" s="10" t="s">
        <v>13</v>
      </c>
      <c r="F389" s="12" t="s">
        <v>134</v>
      </c>
      <c r="G389" s="2" t="s">
        <v>576</v>
      </c>
      <c r="H389" s="2" t="s">
        <v>576</v>
      </c>
      <c r="I389" s="14" t="str">
        <f aca="false">CONCATENATE(B389, CHAR(10), D389, CHAR(10), "Tax ID: ", F389)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90" customFormat="false" ht="49.25" hidden="false" customHeight="false" outlineLevel="0" collapsed="false">
      <c r="A390" s="1" t="s">
        <v>577</v>
      </c>
      <c r="B390" s="14" t="s">
        <v>578</v>
      </c>
      <c r="C390" s="14" t="s">
        <v>512</v>
      </c>
      <c r="D390" s="21" t="s">
        <v>442</v>
      </c>
      <c r="E390" s="14" t="s">
        <v>443</v>
      </c>
      <c r="F390" s="31" t="s">
        <v>579</v>
      </c>
      <c r="G390" s="17" t="s">
        <v>580</v>
      </c>
      <c r="H390" s="13" t="s">
        <v>580</v>
      </c>
      <c r="I390" s="14" t="str">
        <f aca="false">CONCATENATE(B390, CHAR(10), D390, CHAR(10), "Tax ID: ", F390)</f>
        <v>บริษัท เอพี เอ็มอี 22 จำกัด (สำนักงานใหญ่)
170/57 อาคารโอเชี่ยนทาวเวอร์ 1 ชั้น 18 ถนนรัชดาภิเษกตัดใหม่ 
แขวงคลองเตย เขตคลองเตย กรุงเทพฯ 10110
Tax ID: 0105566093522</v>
      </c>
    </row>
    <row r="391" customFormat="false" ht="49.25" hidden="false" customHeight="false" outlineLevel="0" collapsed="false">
      <c r="A391" s="1" t="s">
        <v>581</v>
      </c>
      <c r="B391" s="14" t="s">
        <v>132</v>
      </c>
      <c r="C391" s="14" t="s">
        <v>133</v>
      </c>
      <c r="D391" s="21" t="s">
        <v>12</v>
      </c>
      <c r="E391" s="10" t="s">
        <v>13</v>
      </c>
      <c r="F391" s="12" t="s">
        <v>134</v>
      </c>
      <c r="G391" s="2" t="n">
        <v>40143</v>
      </c>
      <c r="H391" s="2" t="s">
        <v>582</v>
      </c>
      <c r="I391" s="14" t="str">
        <f aca="false">CONCATENATE(B391, CHAR(10), D391, CHAR(10), "Tax ID: ", F391)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92" customFormat="false" ht="49.25" hidden="false" customHeight="false" outlineLevel="0" collapsed="false">
      <c r="A392" s="1" t="s">
        <v>583</v>
      </c>
      <c r="B392" s="10" t="s">
        <v>203</v>
      </c>
      <c r="C392" s="14" t="s">
        <v>204</v>
      </c>
      <c r="D392" s="11" t="s">
        <v>12</v>
      </c>
      <c r="E392" s="14" t="s">
        <v>13</v>
      </c>
      <c r="F392" s="12" t="s">
        <v>205</v>
      </c>
      <c r="G392" s="2" t="n">
        <v>20053</v>
      </c>
      <c r="H392" s="2" t="s">
        <v>584</v>
      </c>
      <c r="I392" s="14" t="str">
        <f aca="false">CONCATENATE(B392, CHAR(10), D392, CHAR(10), "Tax ID: ", F392)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393" customFormat="false" ht="49.25" hidden="false" customHeight="false" outlineLevel="0" collapsed="false">
      <c r="A393" s="1" t="s">
        <v>585</v>
      </c>
      <c r="B393" s="10" t="s">
        <v>203</v>
      </c>
      <c r="C393" s="14" t="s">
        <v>204</v>
      </c>
      <c r="D393" s="11" t="s">
        <v>12</v>
      </c>
      <c r="E393" s="14" t="s">
        <v>13</v>
      </c>
      <c r="F393" s="12" t="s">
        <v>205</v>
      </c>
      <c r="G393" s="2" t="n">
        <v>20054</v>
      </c>
      <c r="H393" s="2" t="s">
        <v>586</v>
      </c>
      <c r="I393" s="14" t="str">
        <f aca="false">CONCATENATE(B393, CHAR(10), D393, CHAR(10), "Tax ID: ", F393)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394" customFormat="false" ht="49.25" hidden="false" customHeight="false" outlineLevel="0" collapsed="false">
      <c r="A394" s="1" t="s">
        <v>587</v>
      </c>
      <c r="B394" s="14" t="s">
        <v>132</v>
      </c>
      <c r="C394" s="14" t="s">
        <v>133</v>
      </c>
      <c r="D394" s="21" t="s">
        <v>12</v>
      </c>
      <c r="E394" s="10" t="s">
        <v>13</v>
      </c>
      <c r="F394" s="12" t="s">
        <v>134</v>
      </c>
      <c r="G394" s="2" t="n">
        <v>40130</v>
      </c>
      <c r="H394" s="2" t="s">
        <v>588</v>
      </c>
      <c r="I394" s="14" t="str">
        <f aca="false">CONCATENATE(B394, CHAR(10), D394, CHAR(10), "Tax ID: ", F394)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95" customFormat="false" ht="49.25" hidden="false" customHeight="false" outlineLevel="0" collapsed="false">
      <c r="A395" s="10" t="s">
        <v>589</v>
      </c>
      <c r="B395" s="10" t="s">
        <v>203</v>
      </c>
      <c r="C395" s="10" t="s">
        <v>204</v>
      </c>
      <c r="D395" s="11" t="s">
        <v>12</v>
      </c>
      <c r="E395" s="10" t="s">
        <v>13</v>
      </c>
      <c r="F395" s="12" t="s">
        <v>205</v>
      </c>
      <c r="G395" s="2" t="n">
        <v>20045</v>
      </c>
      <c r="H395" s="2" t="s">
        <v>590</v>
      </c>
      <c r="I395" s="21" t="s">
        <v>591</v>
      </c>
    </row>
    <row r="396" customFormat="false" ht="49.25" hidden="false" customHeight="false" outlineLevel="0" collapsed="false">
      <c r="A396" s="21" t="s">
        <v>592</v>
      </c>
      <c r="B396" s="10" t="s">
        <v>132</v>
      </c>
      <c r="C396" s="10" t="s">
        <v>133</v>
      </c>
      <c r="D396" s="11" t="s">
        <v>12</v>
      </c>
      <c r="E396" s="10" t="s">
        <v>13</v>
      </c>
      <c r="F396" s="12" t="s">
        <v>134</v>
      </c>
      <c r="G396" s="17" t="n">
        <v>40140</v>
      </c>
      <c r="H396" s="13" t="s">
        <v>593</v>
      </c>
      <c r="I396" s="21" t="str">
        <f aca="false">CONCATENATE(B396, CHAR(10), D396, CHAR(10), "Tax ID: ", F396)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97" customFormat="false" ht="49.25" hidden="false" customHeight="false" outlineLevel="0" collapsed="false">
      <c r="A397" s="1" t="s">
        <v>594</v>
      </c>
      <c r="B397" s="1" t="s">
        <v>101</v>
      </c>
      <c r="C397" s="1" t="s">
        <v>102</v>
      </c>
      <c r="D397" s="32" t="s">
        <v>103</v>
      </c>
      <c r="E397" s="33" t="s">
        <v>13</v>
      </c>
      <c r="F397" s="34" t="s">
        <v>105</v>
      </c>
      <c r="G397" s="17" t="n">
        <v>70125</v>
      </c>
      <c r="H397" s="13" t="s">
        <v>595</v>
      </c>
      <c r="I397" s="1" t="str">
        <f aca="false">CONCATENATE(B397, CHAR(10), D397, CHAR(10), "Tax ID: ", F397)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398" customFormat="false" ht="49.25" hidden="false" customHeight="false" outlineLevel="0" collapsed="false">
      <c r="A398" s="21" t="s">
        <v>596</v>
      </c>
      <c r="B398" s="10" t="s">
        <v>132</v>
      </c>
      <c r="C398" s="10" t="s">
        <v>133</v>
      </c>
      <c r="D398" s="11" t="s">
        <v>12</v>
      </c>
      <c r="E398" s="10" t="s">
        <v>13</v>
      </c>
      <c r="F398" s="12" t="s">
        <v>134</v>
      </c>
      <c r="G398" s="17" t="n">
        <v>40152</v>
      </c>
      <c r="H398" s="13" t="s">
        <v>597</v>
      </c>
      <c r="I398" s="21" t="str">
        <f aca="false">CONCATENATE(B398, CHAR(10), D398, CHAR(10), "Tax ID: ", F398)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399" customFormat="false" ht="49.25" hidden="false" customHeight="false" outlineLevel="0" collapsed="false">
      <c r="A399" s="1" t="s">
        <v>598</v>
      </c>
      <c r="B399" s="1" t="s">
        <v>101</v>
      </c>
      <c r="C399" s="1" t="s">
        <v>102</v>
      </c>
      <c r="D399" s="32" t="s">
        <v>103</v>
      </c>
      <c r="E399" s="33" t="s">
        <v>13</v>
      </c>
      <c r="F399" s="34" t="s">
        <v>105</v>
      </c>
      <c r="G399" s="2" t="n">
        <v>70130</v>
      </c>
      <c r="H399" s="2" t="s">
        <v>599</v>
      </c>
      <c r="I399" s="1" t="str">
        <f aca="false">CONCATENATE(B399, CHAR(10), D399, CHAR(10), "Tax ID: ", F399)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400" customFormat="false" ht="49.25" hidden="false" customHeight="false" outlineLevel="0" collapsed="false">
      <c r="A400" s="10" t="s">
        <v>600</v>
      </c>
      <c r="B400" s="10" t="s">
        <v>132</v>
      </c>
      <c r="C400" s="10" t="s">
        <v>133</v>
      </c>
      <c r="D400" s="11" t="s">
        <v>12</v>
      </c>
      <c r="E400" s="10" t="s">
        <v>13</v>
      </c>
      <c r="F400" s="12" t="s">
        <v>134</v>
      </c>
      <c r="G400" s="17" t="n">
        <v>40151</v>
      </c>
      <c r="H400" s="13" t="s">
        <v>601</v>
      </c>
      <c r="I400" s="21" t="str">
        <f aca="false">CONCATENATE(B400, CHAR(10), D400, CHAR(10), "Tax ID: ", F400)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401" customFormat="false" ht="49.25" hidden="false" customHeight="false" outlineLevel="0" collapsed="false">
      <c r="A401" s="1" t="s">
        <v>602</v>
      </c>
      <c r="B401" s="1" t="s">
        <v>101</v>
      </c>
      <c r="C401" s="1" t="s">
        <v>102</v>
      </c>
      <c r="D401" s="32" t="s">
        <v>103</v>
      </c>
      <c r="E401" s="33" t="s">
        <v>13</v>
      </c>
      <c r="F401" s="34" t="s">
        <v>105</v>
      </c>
      <c r="G401" s="2" t="n">
        <v>70127</v>
      </c>
      <c r="H401" s="2" t="s">
        <v>603</v>
      </c>
      <c r="I401" s="1" t="str">
        <f aca="false">CONCATENATE(B401, CHAR(10), D401, CHAR(10), "Tax ID: ", F401)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402" customFormat="false" ht="49.25" hidden="false" customHeight="false" outlineLevel="0" collapsed="false">
      <c r="A402" s="10" t="s">
        <v>604</v>
      </c>
      <c r="B402" s="10" t="s">
        <v>132</v>
      </c>
      <c r="C402" s="10" t="s">
        <v>133</v>
      </c>
      <c r="D402" s="11" t="s">
        <v>12</v>
      </c>
      <c r="E402" s="10" t="s">
        <v>13</v>
      </c>
      <c r="F402" s="12" t="s">
        <v>134</v>
      </c>
      <c r="G402" s="17" t="n">
        <v>40150</v>
      </c>
      <c r="H402" s="13" t="n">
        <v>40150</v>
      </c>
      <c r="I402" s="21" t="str">
        <f aca="false">CONCATENATE(B402, CHAR(10), D402, CHAR(10), "Tax ID: ", F402)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403" customFormat="false" ht="49.25" hidden="false" customHeight="false" outlineLevel="0" collapsed="false">
      <c r="A403" s="10" t="s">
        <v>605</v>
      </c>
      <c r="B403" s="10" t="s">
        <v>132</v>
      </c>
      <c r="C403" s="10" t="s">
        <v>133</v>
      </c>
      <c r="D403" s="11" t="s">
        <v>12</v>
      </c>
      <c r="E403" s="10" t="s">
        <v>13</v>
      </c>
      <c r="F403" s="12" t="s">
        <v>134</v>
      </c>
      <c r="G403" s="17" t="n">
        <v>40141</v>
      </c>
      <c r="H403" s="13" t="n">
        <v>40141</v>
      </c>
      <c r="I403" s="21" t="str">
        <f aca="false">CONCATENATE(B403, CHAR(10), D403, CHAR(10), "Tax ID: ", F403)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404" customFormat="false" ht="49.25" hidden="false" customHeight="false" outlineLevel="0" collapsed="false">
      <c r="A404" s="10" t="s">
        <v>606</v>
      </c>
      <c r="B404" s="10" t="s">
        <v>132</v>
      </c>
      <c r="C404" s="10" t="s">
        <v>133</v>
      </c>
      <c r="D404" s="11" t="s">
        <v>12</v>
      </c>
      <c r="E404" s="10" t="s">
        <v>13</v>
      </c>
      <c r="F404" s="12" t="s">
        <v>134</v>
      </c>
      <c r="G404" s="17" t="n">
        <v>40134</v>
      </c>
      <c r="H404" s="13" t="n">
        <v>40134</v>
      </c>
      <c r="I404" s="21" t="str">
        <f aca="false">CONCATENATE(B404, CHAR(10), D404, CHAR(10), "Tax ID: ", F404)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405" customFormat="false" ht="49.25" hidden="false" customHeight="false" outlineLevel="0" collapsed="false">
      <c r="A405" s="21" t="s">
        <v>607</v>
      </c>
      <c r="B405" s="10" t="s">
        <v>277</v>
      </c>
      <c r="C405" s="21" t="s">
        <v>278</v>
      </c>
      <c r="D405" s="21" t="s">
        <v>12</v>
      </c>
      <c r="E405" s="21" t="s">
        <v>13</v>
      </c>
      <c r="F405" s="12" t="s">
        <v>279</v>
      </c>
      <c r="G405" s="17" t="s">
        <v>608</v>
      </c>
      <c r="H405" s="13" t="s">
        <v>609</v>
      </c>
      <c r="I405" s="21" t="str">
        <f aca="false">CONCATENATE(B405, CHAR(10), D405, CHAR(10), "Tax ID: ", F405)</f>
        <v>บริษัท เอเชี่ยน พร็อพเพอร์ตี้ (2018)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0105560124515</v>
      </c>
    </row>
    <row r="406" customFormat="false" ht="49.25" hidden="false" customHeight="false" outlineLevel="0" collapsed="false">
      <c r="A406" s="21" t="s">
        <v>610</v>
      </c>
      <c r="B406" s="21" t="s">
        <v>101</v>
      </c>
      <c r="C406" s="21" t="s">
        <v>102</v>
      </c>
      <c r="D406" s="21" t="s">
        <v>103</v>
      </c>
      <c r="E406" s="21" t="s">
        <v>104</v>
      </c>
      <c r="F406" s="12" t="s">
        <v>105</v>
      </c>
      <c r="G406" s="17" t="n">
        <v>70124</v>
      </c>
      <c r="H406" s="13" t="s">
        <v>611</v>
      </c>
      <c r="I406" s="21" t="str">
        <f aca="false">CONCATENATE(B406, CHAR(10), D406, CHAR(10), "Tax ID: ", F406)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407" customFormat="false" ht="49.25" hidden="false" customHeight="false" outlineLevel="0" collapsed="false">
      <c r="A407" s="21" t="s">
        <v>612</v>
      </c>
      <c r="B407" s="10" t="s">
        <v>132</v>
      </c>
      <c r="C407" s="10" t="s">
        <v>133</v>
      </c>
      <c r="D407" s="11" t="s">
        <v>12</v>
      </c>
      <c r="E407" s="10" t="s">
        <v>13</v>
      </c>
      <c r="F407" s="12" t="s">
        <v>134</v>
      </c>
      <c r="G407" s="17" t="n">
        <v>40137</v>
      </c>
      <c r="H407" s="13" t="str">
        <f aca="false">"MK"&amp;G407</f>
        <v>MK40137</v>
      </c>
      <c r="I407" s="21" t="str">
        <f aca="false">CONCATENATE(B407, CHAR(10), D407, CHAR(10), "Tax ID: ", F407)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408" customFormat="false" ht="49.25" hidden="false" customHeight="false" outlineLevel="0" collapsed="false">
      <c r="A408" s="1" t="s">
        <v>613</v>
      </c>
      <c r="B408" s="10" t="s">
        <v>132</v>
      </c>
      <c r="C408" s="10" t="s">
        <v>133</v>
      </c>
      <c r="D408" s="11" t="s">
        <v>12</v>
      </c>
      <c r="E408" s="10" t="s">
        <v>13</v>
      </c>
      <c r="F408" s="12" t="s">
        <v>134</v>
      </c>
      <c r="G408" s="17" t="n">
        <v>40146</v>
      </c>
      <c r="H408" s="13" t="str">
        <f aca="false">"MK"&amp;G408</f>
        <v>MK40146</v>
      </c>
      <c r="I408" s="21" t="str">
        <f aca="false">CONCATENATE(B408, CHAR(10), D408, CHAR(10), "Tax ID: ", F408)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409" customFormat="false" ht="49.25" hidden="false" customHeight="false" outlineLevel="0" collapsed="false">
      <c r="A409" s="1" t="s">
        <v>614</v>
      </c>
      <c r="B409" s="21" t="s">
        <v>101</v>
      </c>
      <c r="C409" s="21" t="s">
        <v>102</v>
      </c>
      <c r="D409" s="21" t="s">
        <v>103</v>
      </c>
      <c r="E409" s="21" t="s">
        <v>104</v>
      </c>
      <c r="F409" s="12" t="s">
        <v>105</v>
      </c>
      <c r="G409" s="17" t="n">
        <v>70122</v>
      </c>
      <c r="H409" s="13" t="str">
        <f aca="false">"MK"&amp;G409</f>
        <v>MK70122</v>
      </c>
      <c r="I409" s="21" t="str">
        <f aca="false">CONCATENATE(B409, CHAR(10), D409, CHAR(10), "Tax ID: ", F409)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410" customFormat="false" ht="49.25" hidden="false" customHeight="false" outlineLevel="0" collapsed="false">
      <c r="A410" s="1" t="s">
        <v>615</v>
      </c>
      <c r="B410" s="10" t="s">
        <v>132</v>
      </c>
      <c r="C410" s="10" t="s">
        <v>133</v>
      </c>
      <c r="D410" s="11" t="s">
        <v>12</v>
      </c>
      <c r="E410" s="10" t="s">
        <v>13</v>
      </c>
      <c r="F410" s="12" t="s">
        <v>134</v>
      </c>
      <c r="G410" s="17" t="n">
        <v>40159</v>
      </c>
      <c r="H410" s="13" t="str">
        <f aca="false">"MK"&amp;G410</f>
        <v>MK40159</v>
      </c>
      <c r="I410" s="21" t="str">
        <f aca="false">CONCATENATE(B410, CHAR(10), D410, CHAR(10), "Tax ID: ", F410)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411" customFormat="false" ht="49.25" hidden="false" customHeight="false" outlineLevel="0" collapsed="false">
      <c r="A411" s="1" t="s">
        <v>616</v>
      </c>
      <c r="B411" s="10" t="s">
        <v>132</v>
      </c>
      <c r="C411" s="10" t="s">
        <v>133</v>
      </c>
      <c r="D411" s="11" t="s">
        <v>12</v>
      </c>
      <c r="E411" s="10" t="s">
        <v>13</v>
      </c>
      <c r="F411" s="12" t="s">
        <v>134</v>
      </c>
      <c r="G411" s="17" t="n">
        <v>40148</v>
      </c>
      <c r="H411" s="13" t="str">
        <f aca="false">"MK"&amp;G411</f>
        <v>MK40148</v>
      </c>
      <c r="I411" s="21" t="str">
        <f aca="false">CONCATENATE(B411, CHAR(10), D411, CHAR(10), "Tax ID: ", F411)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412" customFormat="false" ht="49.25" hidden="false" customHeight="false" outlineLevel="0" collapsed="false">
      <c r="A412" s="21" t="s">
        <v>617</v>
      </c>
      <c r="B412" s="10" t="s">
        <v>132</v>
      </c>
      <c r="C412" s="10" t="s">
        <v>133</v>
      </c>
      <c r="D412" s="11" t="s">
        <v>12</v>
      </c>
      <c r="E412" s="10" t="s">
        <v>13</v>
      </c>
      <c r="F412" s="12" t="s">
        <v>134</v>
      </c>
      <c r="G412" s="17" t="n">
        <v>40155</v>
      </c>
      <c r="H412" s="13" t="str">
        <f aca="false">"MK"&amp;G412</f>
        <v>MK40155</v>
      </c>
      <c r="I412" s="21" t="str">
        <f aca="false">CONCATENATE(B412, CHAR(10), D412, CHAR(10), "Tax ID: ", F412)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413" customFormat="false" ht="49.25" hidden="false" customHeight="false" outlineLevel="0" collapsed="false">
      <c r="A413" s="21" t="s">
        <v>618</v>
      </c>
      <c r="B413" s="10" t="s">
        <v>132</v>
      </c>
      <c r="C413" s="10" t="s">
        <v>133</v>
      </c>
      <c r="D413" s="11" t="s">
        <v>12</v>
      </c>
      <c r="E413" s="10" t="s">
        <v>13</v>
      </c>
      <c r="F413" s="12" t="s">
        <v>134</v>
      </c>
      <c r="G413" s="17" t="n">
        <v>40029</v>
      </c>
      <c r="H413" s="13" t="str">
        <f aca="false">"MK"&amp;G413</f>
        <v>MK40029</v>
      </c>
      <c r="I413" s="21" t="str">
        <f aca="false">CONCATENATE(B413, CHAR(10), D413, CHAR(10), "Tax ID: ", F413)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414" customFormat="false" ht="49.25" hidden="false" customHeight="false" outlineLevel="0" collapsed="false">
      <c r="A414" s="21" t="s">
        <v>619</v>
      </c>
      <c r="B414" s="21" t="s">
        <v>374</v>
      </c>
      <c r="C414" s="21"/>
      <c r="D414" s="21" t="s">
        <v>375</v>
      </c>
      <c r="E414" s="10" t="s">
        <v>13</v>
      </c>
      <c r="F414" s="12" t="s">
        <v>376</v>
      </c>
      <c r="G414" s="17" t="s">
        <v>620</v>
      </c>
      <c r="H414" s="13" t="str">
        <f aca="false">"MK"&amp;G414</f>
        <v>MKWA0004</v>
      </c>
      <c r="I414" s="21" t="str">
        <f aca="false">CONCATENATE(B414, CHAR(10), D414, CHAR(10), "Tax ID: ", F414)</f>
        <v>บริษัท เอเชี่ยน พร็อพเพอร์ตี้ (2024) จำกัด (สำนักงานใหญ่)
170/57 อาคารโอเชี่ยนทาวเวอร์ 1 ชั้นที่ 18 ซอยสุขุมวิท 16 (สามมิตร) 
ถนนรัชดาภิเษกตัดใหม่ แขวงคลองเตย เขตคลองเตย กรุงเทพมหานคร 10110
Tax ID: 0105559106240</v>
      </c>
    </row>
    <row r="415" customFormat="false" ht="49.25" hidden="false" customHeight="false" outlineLevel="0" collapsed="false">
      <c r="A415" s="1" t="s">
        <v>621</v>
      </c>
      <c r="B415" s="10" t="s">
        <v>203</v>
      </c>
      <c r="C415" s="21" t="s">
        <v>204</v>
      </c>
      <c r="D415" s="11" t="s">
        <v>12</v>
      </c>
      <c r="F415" s="12" t="s">
        <v>205</v>
      </c>
      <c r="G415" s="17" t="n">
        <v>20055</v>
      </c>
      <c r="H415" s="13" t="str">
        <f aca="false">"MK"&amp;G415</f>
        <v>MK20055</v>
      </c>
      <c r="I415" s="21" t="str">
        <f aca="false">CONCATENATE(B415, CHAR(10), D415, CHAR(10), "Tax ID: ", F415)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416" customFormat="false" ht="49.25" hidden="false" customHeight="false" outlineLevel="0" collapsed="false">
      <c r="A416" s="1" t="s">
        <v>622</v>
      </c>
      <c r="B416" s="21" t="s">
        <v>623</v>
      </c>
      <c r="C416" s="21" t="s">
        <v>512</v>
      </c>
      <c r="D416" s="21" t="s">
        <v>442</v>
      </c>
      <c r="E416" s="21" t="s">
        <v>443</v>
      </c>
      <c r="F416" s="31" t="s">
        <v>579</v>
      </c>
      <c r="G416" s="17" t="s">
        <v>624</v>
      </c>
      <c r="H416" s="13" t="s">
        <v>625</v>
      </c>
      <c r="I416" s="21" t="str">
        <f aca="false">CONCATENATE(B416, CHAR(10), D416, CHAR(10), "Tax ID: ", F416)</f>
        <v>บริษัท เอพี เอ็มอี 24 จำกัด (สำนักงานใหญ่)
170/57 อาคารโอเชี่ยนทาวเวอร์ 1 ชั้น 18 ถนนรัชดาภิเษกตัดใหม่ 
แขวงคลองเตย เขตคลองเตย กรุงเทพฯ 10110
Tax ID: 0105566093522</v>
      </c>
    </row>
    <row r="417" customFormat="false" ht="49.25" hidden="false" customHeight="false" outlineLevel="0" collapsed="false">
      <c r="A417" s="1" t="s">
        <v>626</v>
      </c>
      <c r="B417" s="10" t="s">
        <v>203</v>
      </c>
      <c r="C417" s="21" t="s">
        <v>204</v>
      </c>
      <c r="D417" s="11" t="s">
        <v>12</v>
      </c>
      <c r="F417" s="12" t="s">
        <v>205</v>
      </c>
      <c r="G417" s="17" t="n">
        <v>20056</v>
      </c>
      <c r="H417" s="13" t="str">
        <f aca="false">"MK"&amp;G417</f>
        <v>MK20056</v>
      </c>
      <c r="I417" s="21" t="str">
        <f aca="false">CONCATENATE(B417, CHAR(10), D417, CHAR(10), "Tax ID: ", F417)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418" customFormat="false" ht="49.25" hidden="false" customHeight="false" outlineLevel="0" collapsed="false">
      <c r="A418" s="1" t="s">
        <v>627</v>
      </c>
      <c r="B418" s="10" t="s">
        <v>132</v>
      </c>
      <c r="C418" s="10" t="s">
        <v>133</v>
      </c>
      <c r="D418" s="11" t="s">
        <v>12</v>
      </c>
      <c r="E418" s="10" t="s">
        <v>13</v>
      </c>
      <c r="F418" s="12" t="s">
        <v>134</v>
      </c>
      <c r="G418" s="17" t="n">
        <v>40156</v>
      </c>
      <c r="H418" s="13" t="str">
        <f aca="false">"MK"&amp;G418</f>
        <v>MK40156</v>
      </c>
      <c r="I418" s="21" t="str">
        <f aca="false">CONCATENATE(B418, CHAR(10), D418, CHAR(10), "Tax ID: ", F418)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419" customFormat="false" ht="49.25" hidden="false" customHeight="false" outlineLevel="0" collapsed="false">
      <c r="A419" s="10" t="s">
        <v>628</v>
      </c>
      <c r="B419" s="21" t="s">
        <v>132</v>
      </c>
      <c r="C419" s="21" t="s">
        <v>133</v>
      </c>
      <c r="D419" s="21" t="s">
        <v>12</v>
      </c>
      <c r="E419" s="10" t="s">
        <v>104</v>
      </c>
      <c r="F419" s="12" t="s">
        <v>105</v>
      </c>
      <c r="G419" s="17" t="n">
        <v>40142</v>
      </c>
      <c r="H419" s="13" t="str">
        <f aca="false">"MK"&amp;G419</f>
        <v>MK40142</v>
      </c>
      <c r="I419" s="19" t="str">
        <f aca="false">CONCATENATE(B419, CHAR(10), D419, CHAR(10), "Tax ID: ", F419)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0105545118836</v>
      </c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</row>
    <row r="420" customFormat="false" ht="49.25" hidden="false" customHeight="false" outlineLevel="0" collapsed="false">
      <c r="A420" s="1" t="s">
        <v>629</v>
      </c>
      <c r="B420" s="21" t="s">
        <v>578</v>
      </c>
      <c r="C420" s="21" t="s">
        <v>512</v>
      </c>
      <c r="D420" s="21" t="s">
        <v>442</v>
      </c>
      <c r="E420" s="21" t="s">
        <v>443</v>
      </c>
      <c r="F420" s="31" t="s">
        <v>579</v>
      </c>
      <c r="G420" s="17" t="s">
        <v>630</v>
      </c>
      <c r="H420" s="13" t="s">
        <v>580</v>
      </c>
      <c r="I420" s="21" t="str">
        <f aca="false">CONCATENATE(B420, CHAR(10), D420, CHAR(10), "Tax ID: ", F420)</f>
        <v>บริษัท เอพี เอ็มอี 22 จำกัด (สำนักงานใหญ่)
170/57 อาคารโอเชี่ยนทาวเวอร์ 1 ชั้น 18 ถนนรัชดาภิเษกตัดใหม่ 
แขวงคลองเตย เขตคลองเตย กรุงเทพฯ 10110
Tax ID: 0105566093522</v>
      </c>
    </row>
    <row r="421" customFormat="false" ht="49.25" hidden="false" customHeight="false" outlineLevel="0" collapsed="false">
      <c r="A421" s="10" t="s">
        <v>631</v>
      </c>
      <c r="B421" s="21" t="s">
        <v>101</v>
      </c>
      <c r="C421" s="21" t="s">
        <v>102</v>
      </c>
      <c r="D421" s="21" t="s">
        <v>103</v>
      </c>
      <c r="E421" s="21" t="s">
        <v>104</v>
      </c>
      <c r="F421" s="12" t="s">
        <v>105</v>
      </c>
      <c r="G421" s="17" t="n">
        <v>70135</v>
      </c>
      <c r="H421" s="13" t="str">
        <f aca="false">"MK"&amp;G421</f>
        <v>MK70135</v>
      </c>
      <c r="I421" s="21" t="str">
        <f aca="false">CONCATENATE(B421, CHAR(10), D421, CHAR(10), "Tax ID: ", F421)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422" customFormat="false" ht="49.25" hidden="false" customHeight="false" outlineLevel="0" collapsed="false">
      <c r="A422" s="1" t="s">
        <v>632</v>
      </c>
      <c r="B422" s="21" t="s">
        <v>633</v>
      </c>
      <c r="C422" s="21" t="s">
        <v>512</v>
      </c>
      <c r="D422" s="21" t="s">
        <v>442</v>
      </c>
      <c r="E422" s="21" t="s">
        <v>443</v>
      </c>
      <c r="F422" s="31" t="s">
        <v>634</v>
      </c>
      <c r="G422" s="17" t="s">
        <v>635</v>
      </c>
      <c r="H422" s="13" t="str">
        <f aca="false">"MK"&amp;G422</f>
        <v>MKAU0001</v>
      </c>
      <c r="I422" s="21" t="str">
        <f aca="false">CONCATENATE(B422, CHAR(10), D422, CHAR(10), "Tax ID: ", F422)</f>
        <v>บริษัท เอพี เอ็มอี 30 จำกัด (สำนักงานใหญ่)
170/57 อาคารโอเชี่ยนทาวเวอร์ 1 ชั้น 18 ถนนรัชดาภิเษกตัดใหม่ 
แขวงคลองเตย เขตคลองเตย กรุงเทพฯ 10110
Tax ID: 0125566010741</v>
      </c>
    </row>
    <row r="423" customFormat="false" ht="49.25" hidden="false" customHeight="false" outlineLevel="0" collapsed="false">
      <c r="A423" s="1" t="s">
        <v>636</v>
      </c>
      <c r="B423" s="10" t="s">
        <v>132</v>
      </c>
      <c r="C423" s="10" t="s">
        <v>133</v>
      </c>
      <c r="D423" s="11" t="s">
        <v>12</v>
      </c>
      <c r="E423" s="10" t="s">
        <v>13</v>
      </c>
      <c r="F423" s="12" t="s">
        <v>134</v>
      </c>
      <c r="G423" s="17" t="n">
        <v>40163</v>
      </c>
      <c r="H423" s="13" t="str">
        <f aca="false">"MK"&amp;G423</f>
        <v>MK40163</v>
      </c>
      <c r="I423" s="21" t="str">
        <f aca="false">CONCATENATE(B423, CHAR(10), D423, CHAR(10), "Tax ID: ", F423)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424" customFormat="false" ht="49.25" hidden="false" customHeight="false" outlineLevel="0" collapsed="false">
      <c r="A424" s="1" t="s">
        <v>637</v>
      </c>
      <c r="B424" s="10" t="s">
        <v>203</v>
      </c>
      <c r="C424" s="21" t="s">
        <v>204</v>
      </c>
      <c r="D424" s="11" t="s">
        <v>12</v>
      </c>
      <c r="F424" s="12" t="s">
        <v>205</v>
      </c>
      <c r="G424" s="17" t="n">
        <v>20057</v>
      </c>
      <c r="H424" s="13" t="str">
        <f aca="false">"MK"&amp;G424</f>
        <v>MK20057</v>
      </c>
      <c r="I424" s="21" t="str">
        <f aca="false">CONCATENATE(B424, CHAR(10), D424, CHAR(10), "Tax ID: ", F424)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425" customFormat="false" ht="49.25" hidden="false" customHeight="false" outlineLevel="0" collapsed="false">
      <c r="A425" s="1" t="s">
        <v>638</v>
      </c>
      <c r="B425" s="10" t="s">
        <v>132</v>
      </c>
      <c r="C425" s="10" t="s">
        <v>133</v>
      </c>
      <c r="D425" s="11" t="s">
        <v>12</v>
      </c>
      <c r="E425" s="10" t="s">
        <v>13</v>
      </c>
      <c r="F425" s="12" t="s">
        <v>134</v>
      </c>
      <c r="G425" s="17" t="n">
        <v>40166</v>
      </c>
      <c r="H425" s="13" t="str">
        <f aca="false">"MK"&amp;G425</f>
        <v>MK40166</v>
      </c>
      <c r="I425" s="21" t="str">
        <f aca="false">CONCATENATE(B425, CHAR(10), D425, CHAR(10), "Tax ID: ", F425)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426" customFormat="false" ht="49.25" hidden="false" customHeight="false" outlineLevel="0" collapsed="false">
      <c r="A426" s="21" t="s">
        <v>639</v>
      </c>
      <c r="B426" s="10" t="s">
        <v>132</v>
      </c>
      <c r="C426" s="10" t="s">
        <v>133</v>
      </c>
      <c r="D426" s="11" t="s">
        <v>12</v>
      </c>
      <c r="E426" s="10" t="s">
        <v>13</v>
      </c>
      <c r="F426" s="12" t="s">
        <v>134</v>
      </c>
      <c r="G426" s="17" t="n">
        <v>40164</v>
      </c>
      <c r="H426" s="13" t="str">
        <f aca="false">"MK"&amp;G426</f>
        <v>MK40164</v>
      </c>
      <c r="I426" s="21" t="str">
        <f aca="false">CONCATENATE(B426, CHAR(10), D426, CHAR(10), "Tax ID: ", F426)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427" customFormat="false" ht="49.25" hidden="false" customHeight="false" outlineLevel="0" collapsed="false">
      <c r="A427" s="1" t="s">
        <v>640</v>
      </c>
      <c r="B427" s="10" t="s">
        <v>132</v>
      </c>
      <c r="C427" s="10" t="s">
        <v>133</v>
      </c>
      <c r="D427" s="11" t="s">
        <v>12</v>
      </c>
      <c r="E427" s="10" t="s">
        <v>13</v>
      </c>
      <c r="F427" s="12" t="s">
        <v>134</v>
      </c>
      <c r="G427" s="17" t="n">
        <v>40177</v>
      </c>
      <c r="H427" s="13" t="str">
        <f aca="false">"MK"&amp;G427</f>
        <v>MK40177</v>
      </c>
      <c r="I427" s="21" t="str">
        <f aca="false">CONCATENATE(B427, CHAR(10), D427, CHAR(10), "Tax ID: ", F427)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428" customFormat="false" ht="49.25" hidden="false" customHeight="false" outlineLevel="0" collapsed="false">
      <c r="A428" s="21" t="s">
        <v>641</v>
      </c>
      <c r="B428" s="10" t="s">
        <v>132</v>
      </c>
      <c r="C428" s="10" t="s">
        <v>133</v>
      </c>
      <c r="D428" s="11" t="s">
        <v>12</v>
      </c>
      <c r="E428" s="10" t="s">
        <v>13</v>
      </c>
      <c r="F428" s="12" t="s">
        <v>134</v>
      </c>
      <c r="G428" s="17" t="n">
        <v>40169</v>
      </c>
      <c r="H428" s="13" t="str">
        <f aca="false">"MK"&amp;G428</f>
        <v>MK40169</v>
      </c>
      <c r="I428" s="21" t="str">
        <f aca="false">CONCATENATE(B428, CHAR(10), D428, CHAR(10), "Tax ID: ", F428)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429" customFormat="false" ht="49.25" hidden="false" customHeight="false" outlineLevel="0" collapsed="false">
      <c r="A429" s="1" t="s">
        <v>642</v>
      </c>
      <c r="B429" s="21" t="s">
        <v>101</v>
      </c>
      <c r="C429" s="21" t="s">
        <v>102</v>
      </c>
      <c r="D429" s="21" t="s">
        <v>103</v>
      </c>
      <c r="E429" s="21" t="s">
        <v>104</v>
      </c>
      <c r="F429" s="12" t="s">
        <v>105</v>
      </c>
      <c r="G429" s="17" t="n">
        <v>70059</v>
      </c>
      <c r="H429" s="13" t="str">
        <f aca="false">"MK"&amp;G429</f>
        <v>MK70059</v>
      </c>
      <c r="I429" s="21" t="str">
        <f aca="false">CONCATENATE(B429, CHAR(10), D429, CHAR(10), "Tax ID: ", F429)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430" customFormat="false" ht="49.25" hidden="false" customHeight="false" outlineLevel="0" collapsed="false">
      <c r="A430" s="1" t="s">
        <v>643</v>
      </c>
      <c r="B430" s="21" t="s">
        <v>374</v>
      </c>
      <c r="C430" s="21"/>
      <c r="D430" s="21" t="s">
        <v>375</v>
      </c>
      <c r="E430" s="10" t="s">
        <v>13</v>
      </c>
      <c r="F430" s="12" t="s">
        <v>376</v>
      </c>
      <c r="G430" s="17" t="s">
        <v>644</v>
      </c>
      <c r="H430" s="13" t="str">
        <f aca="false">"MK"&amp;G430</f>
        <v>MKWA0009</v>
      </c>
      <c r="I430" s="21" t="str">
        <f aca="false">CONCATENATE(B430, CHAR(10), D430, CHAR(10), "Tax ID: ", F430)</f>
        <v>บริษัท เอเชี่ยน พร็อพเพอร์ตี้ (2024) จำกัด (สำนักงานใหญ่)
170/57 อาคารโอเชี่ยนทาวเวอร์ 1 ชั้นที่ 18 ซอยสุขุมวิท 16 (สามมิตร) 
ถนนรัชดาภิเษกตัดใหม่ แขวงคลองเตย เขตคลองเตย กรุงเทพมหานคร 10110
Tax ID: 0105559106240</v>
      </c>
    </row>
    <row r="431" customFormat="false" ht="49.25" hidden="false" customHeight="false" outlineLevel="0" collapsed="false">
      <c r="A431" s="14" t="s">
        <v>645</v>
      </c>
      <c r="B431" s="21" t="s">
        <v>101</v>
      </c>
      <c r="C431" s="21" t="s">
        <v>102</v>
      </c>
      <c r="D431" s="21" t="s">
        <v>103</v>
      </c>
      <c r="E431" s="21" t="s">
        <v>104</v>
      </c>
      <c r="F431" s="12" t="s">
        <v>105</v>
      </c>
      <c r="G431" s="17" t="n">
        <v>70100</v>
      </c>
      <c r="H431" s="13" t="str">
        <f aca="false">"MK"&amp;G431</f>
        <v>MK70100</v>
      </c>
      <c r="I431" s="21" t="str">
        <f aca="false">CONCATENATE(B431, CHAR(10), D431, CHAR(10), "Tax ID: ", F431)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432" customFormat="false" ht="49.25" hidden="false" customHeight="false" outlineLevel="0" collapsed="false">
      <c r="A432" s="14" t="s">
        <v>646</v>
      </c>
      <c r="B432" s="10" t="s">
        <v>132</v>
      </c>
      <c r="C432" s="10" t="s">
        <v>133</v>
      </c>
      <c r="D432" s="11" t="s">
        <v>12</v>
      </c>
      <c r="E432" s="10" t="s">
        <v>13</v>
      </c>
      <c r="F432" s="12" t="s">
        <v>134</v>
      </c>
      <c r="G432" s="17" t="n">
        <v>40172</v>
      </c>
      <c r="H432" s="13" t="str">
        <f aca="false">"MK"&amp;G432</f>
        <v>MK40172</v>
      </c>
      <c r="I432" s="21" t="str">
        <f aca="false">CONCATENATE(B432, CHAR(10), D432, CHAR(10), "Tax ID: ", F432)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433" customFormat="false" ht="49.25" hidden="false" customHeight="false" outlineLevel="0" collapsed="false">
      <c r="A433" s="14" t="s">
        <v>647</v>
      </c>
      <c r="B433" s="10" t="s">
        <v>132</v>
      </c>
      <c r="C433" s="10" t="s">
        <v>133</v>
      </c>
      <c r="D433" s="11" t="s">
        <v>12</v>
      </c>
      <c r="E433" s="10" t="s">
        <v>13</v>
      </c>
      <c r="F433" s="12" t="s">
        <v>134</v>
      </c>
      <c r="G433" s="17" t="n">
        <v>40181</v>
      </c>
      <c r="H433" s="13" t="str">
        <f aca="false">"MK"&amp;G433</f>
        <v>MK40181</v>
      </c>
      <c r="I433" s="21" t="str">
        <f aca="false">CONCATENATE(B433, CHAR(10), D433, CHAR(10), "Tax ID: ", F433)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434" customFormat="false" ht="49.25" hidden="false" customHeight="false" outlineLevel="0" collapsed="false">
      <c r="A434" s="1" t="s">
        <v>648</v>
      </c>
      <c r="B434" s="10" t="s">
        <v>132</v>
      </c>
      <c r="C434" s="10" t="s">
        <v>133</v>
      </c>
      <c r="D434" s="11" t="s">
        <v>12</v>
      </c>
      <c r="E434" s="10" t="s">
        <v>13</v>
      </c>
      <c r="F434" s="12" t="s">
        <v>134</v>
      </c>
      <c r="G434" s="17" t="n">
        <v>40165</v>
      </c>
      <c r="H434" s="13" t="str">
        <f aca="false">"MK"&amp;G434</f>
        <v>MK40165</v>
      </c>
      <c r="I434" s="21" t="str">
        <f aca="false">CONCATENATE(B434, CHAR(10), D434, CHAR(10), "Tax ID: ", F434)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435" customFormat="false" ht="49.25" hidden="false" customHeight="false" outlineLevel="0" collapsed="false">
      <c r="A435" s="14" t="s">
        <v>649</v>
      </c>
      <c r="B435" s="21" t="s">
        <v>374</v>
      </c>
      <c r="C435" s="21"/>
      <c r="D435" s="21" t="s">
        <v>375</v>
      </c>
      <c r="E435" s="10" t="s">
        <v>13</v>
      </c>
      <c r="F435" s="12" t="s">
        <v>105</v>
      </c>
      <c r="G435" s="17" t="s">
        <v>650</v>
      </c>
      <c r="H435" s="13" t="str">
        <f aca="false">"MK"&amp;G435</f>
        <v>MKWA0008</v>
      </c>
      <c r="I435" s="21" t="str">
        <f aca="false">CONCATENATE(B435, CHAR(10), D435, CHAR(10), "Tax ID: ", F435)</f>
        <v>บริษัท เอเชี่ยน พร็อพเพอร์ตี้ (2024) จำกัด (สำนักงานใหญ่)
170/57 อาคารโอเชี่ยนทาวเวอร์ 1 ชั้นที่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436" customFormat="false" ht="49.25" hidden="false" customHeight="false" outlineLevel="0" collapsed="false">
      <c r="A436" s="14" t="s">
        <v>651</v>
      </c>
      <c r="B436" s="21" t="s">
        <v>652</v>
      </c>
      <c r="C436" s="21"/>
      <c r="D436" s="21" t="s">
        <v>653</v>
      </c>
      <c r="E436" s="10" t="s">
        <v>13</v>
      </c>
      <c r="F436" s="12" t="n">
        <v>105559148449</v>
      </c>
      <c r="G436" s="17" t="s">
        <v>651</v>
      </c>
      <c r="H436" s="17" t="s">
        <v>651</v>
      </c>
      <c r="I436" s="21" t="str">
        <f aca="false">CONCATENATE(B436, CHAR(10), D436, CHAR(10), "Tax ID: ", F436)</f>
        <v>บริษัท เคลย์ มอร์ อินโนเวชั่น แล็บ จำกัด (สำนักงานใหญ่)
170/43 อาคารโอเชี่ยนทาวเวอร์ 1ชั้น 14 ซ.สุขุมวิท 16 (สามมิตร) 
ถ.รัชดาภิเษกตัดใหม่ แขวงคลองเตย เขตคลองเตย กรุงเทพมหานคร 10110
Tax ID: 105559148449</v>
      </c>
    </row>
    <row r="437" customFormat="false" ht="49.25" hidden="false" customHeight="false" outlineLevel="0" collapsed="false">
      <c r="A437" s="1" t="s">
        <v>654</v>
      </c>
      <c r="B437" s="1" t="s">
        <v>399</v>
      </c>
      <c r="D437" s="21" t="s">
        <v>12</v>
      </c>
      <c r="E437" s="14" t="s">
        <v>390</v>
      </c>
      <c r="F437" s="12" t="s">
        <v>401</v>
      </c>
      <c r="G437" s="2" t="s">
        <v>655</v>
      </c>
      <c r="H437" s="13" t="str">
        <f aca="false">"MK"&amp;G437</f>
        <v>MKAH0002</v>
      </c>
      <c r="I437" s="21" t="str">
        <f aca="false">CONCATENATE(B437, CHAR(10), D437, CHAR(10), "Tax ID: ", F437)</f>
        <v>บริษัท เอพี เอ็มอี 15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0105561212841</v>
      </c>
    </row>
    <row r="438" customFormat="false" ht="49.25" hidden="false" customHeight="false" outlineLevel="0" collapsed="false">
      <c r="A438" s="14" t="s">
        <v>656</v>
      </c>
      <c r="B438" s="21" t="s">
        <v>101</v>
      </c>
      <c r="C438" s="21" t="s">
        <v>102</v>
      </c>
      <c r="D438" s="21" t="s">
        <v>103</v>
      </c>
      <c r="E438" s="21" t="s">
        <v>104</v>
      </c>
      <c r="F438" s="12" t="s">
        <v>105</v>
      </c>
      <c r="G438" s="17" t="n">
        <v>70139</v>
      </c>
      <c r="H438" s="13" t="str">
        <f aca="false">"MK"&amp;G438</f>
        <v>MK70139</v>
      </c>
      <c r="I438" s="21" t="str">
        <f aca="false">CONCATENATE(B438, CHAR(10), D438, CHAR(10), "Tax ID: ", F438)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439" customFormat="false" ht="49.25" hidden="false" customHeight="false" outlineLevel="0" collapsed="false">
      <c r="A439" s="1" t="s">
        <v>657</v>
      </c>
      <c r="B439" s="10" t="s">
        <v>132</v>
      </c>
      <c r="C439" s="10" t="s">
        <v>133</v>
      </c>
      <c r="D439" s="11" t="s">
        <v>12</v>
      </c>
      <c r="E439" s="10" t="s">
        <v>13</v>
      </c>
      <c r="F439" s="12" t="s">
        <v>134</v>
      </c>
      <c r="G439" s="17" t="n">
        <v>40186</v>
      </c>
      <c r="H439" s="13" t="str">
        <f aca="false">"MK"&amp;G439</f>
        <v>MK40186</v>
      </c>
      <c r="I439" s="21" t="str">
        <f aca="false">CONCATENATE(B439, CHAR(10), D439, CHAR(10), "Tax ID: ", F439)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440" customFormat="false" ht="49.25" hidden="false" customHeight="false" outlineLevel="0" collapsed="false">
      <c r="A440" s="1" t="s">
        <v>658</v>
      </c>
      <c r="B440" s="10" t="s">
        <v>132</v>
      </c>
      <c r="C440" s="10" t="s">
        <v>133</v>
      </c>
      <c r="D440" s="11" t="s">
        <v>12</v>
      </c>
      <c r="E440" s="10" t="s">
        <v>13</v>
      </c>
      <c r="F440" s="12" t="s">
        <v>134</v>
      </c>
      <c r="G440" s="17" t="n">
        <v>40171</v>
      </c>
      <c r="H440" s="13" t="str">
        <f aca="false">"MK"&amp;G440</f>
        <v>MK40171</v>
      </c>
      <c r="I440" s="21" t="str">
        <f aca="false">CONCATENATE(B440, CHAR(10), D440, CHAR(10), "Tax ID: ", F440)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441" customFormat="false" ht="49.25" hidden="false" customHeight="false" outlineLevel="0" collapsed="false">
      <c r="A441" s="1" t="s">
        <v>659</v>
      </c>
      <c r="B441" s="21" t="s">
        <v>101</v>
      </c>
      <c r="C441" s="21" t="s">
        <v>102</v>
      </c>
      <c r="D441" s="21" t="s">
        <v>103</v>
      </c>
      <c r="E441" s="21" t="s">
        <v>104</v>
      </c>
      <c r="F441" s="12" t="s">
        <v>105</v>
      </c>
      <c r="G441" s="17" t="n">
        <v>70138</v>
      </c>
      <c r="H441" s="13" t="str">
        <f aca="false">"MK"&amp;G441</f>
        <v>MK70138</v>
      </c>
      <c r="I441" s="21" t="str">
        <f aca="false">CONCATENATE(B441, CHAR(10), D441, CHAR(10), "Tax ID: ", F441)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442" customFormat="false" ht="49.25" hidden="false" customHeight="false" outlineLevel="0" collapsed="false">
      <c r="A442" s="35" t="s">
        <v>660</v>
      </c>
      <c r="B442" s="21" t="s">
        <v>661</v>
      </c>
      <c r="C442" s="21" t="s">
        <v>512</v>
      </c>
      <c r="D442" s="21" t="s">
        <v>442</v>
      </c>
      <c r="E442" s="21" t="s">
        <v>443</v>
      </c>
      <c r="F442" s="31" t="s">
        <v>579</v>
      </c>
      <c r="G442" s="17" t="s">
        <v>662</v>
      </c>
      <c r="H442" s="13" t="s">
        <v>580</v>
      </c>
      <c r="I442" s="21" t="str">
        <f aca="false">CONCATENATE(B442, CHAR(10), D442, CHAR(10), "Tax ID: ", F442)</f>
        <v>บริษัท เอพี เอ็มอี 25 จำกัด (สำนักงานใหญ่)
170/57 อาคารโอเชี่ยนทาวเวอร์ 1 ชั้น 18 ถนนรัชดาภิเษกตัดใหม่ 
แขวงคลองเตย เขตคลองเตย กรุงเทพฯ 10110
Tax ID: 0105566093522</v>
      </c>
    </row>
    <row r="443" customFormat="false" ht="49.25" hidden="false" customHeight="false" outlineLevel="0" collapsed="false">
      <c r="A443" s="1" t="s">
        <v>663</v>
      </c>
      <c r="B443" s="10" t="s">
        <v>132</v>
      </c>
      <c r="C443" s="10" t="s">
        <v>133</v>
      </c>
      <c r="D443" s="11" t="s">
        <v>12</v>
      </c>
      <c r="E443" s="10" t="s">
        <v>13</v>
      </c>
      <c r="F443" s="12" t="s">
        <v>134</v>
      </c>
      <c r="G443" s="17" t="n">
        <v>40182</v>
      </c>
      <c r="H443" s="13" t="str">
        <f aca="false">"MK"&amp;G443</f>
        <v>MK40182</v>
      </c>
      <c r="I443" s="21" t="str">
        <f aca="false">CONCATENATE(B443, CHAR(10), D443, CHAR(10), "Tax ID: ", F443)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444" customFormat="false" ht="49.25" hidden="false" customHeight="false" outlineLevel="0" collapsed="false">
      <c r="A444" s="14" t="s">
        <v>664</v>
      </c>
      <c r="B444" s="21" t="s">
        <v>374</v>
      </c>
      <c r="C444" s="21"/>
      <c r="D444" s="21" t="s">
        <v>375</v>
      </c>
      <c r="E444" s="10" t="s">
        <v>13</v>
      </c>
      <c r="F444" s="12" t="s">
        <v>105</v>
      </c>
      <c r="G444" s="17" t="s">
        <v>665</v>
      </c>
      <c r="H444" s="13" t="n">
        <v>40066</v>
      </c>
      <c r="I444" s="21" t="str">
        <f aca="false">CONCATENATE(B444, CHAR(10), D444, CHAR(10), "Tax ID: ", F444)</f>
        <v>บริษัท เอเชี่ยน พร็อพเพอร์ตี้ (2024) จำกัด (สำนักงานใหญ่)
170/57 อาคารโอเชี่ยนทาวเวอร์ 1 ชั้นที่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445" customFormat="false" ht="49.25" hidden="false" customHeight="false" outlineLevel="0" collapsed="false">
      <c r="A445" s="1" t="s">
        <v>666</v>
      </c>
      <c r="B445" s="10" t="s">
        <v>132</v>
      </c>
      <c r="C445" s="10" t="s">
        <v>133</v>
      </c>
      <c r="D445" s="11" t="s">
        <v>12</v>
      </c>
      <c r="E445" s="10" t="s">
        <v>13</v>
      </c>
      <c r="F445" s="12" t="s">
        <v>134</v>
      </c>
      <c r="G445" s="17" t="n">
        <v>40176</v>
      </c>
      <c r="H445" s="13" t="str">
        <f aca="false">"MK"&amp;G445</f>
        <v>MK40176</v>
      </c>
      <c r="I445" s="21" t="str">
        <f aca="false">CONCATENATE(B445, CHAR(10), D445, CHAR(10), "Tax ID: ", F445)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446" customFormat="false" ht="49.25" hidden="false" customHeight="false" outlineLevel="0" collapsed="false">
      <c r="A446" s="1" t="s">
        <v>667</v>
      </c>
      <c r="B446" s="10" t="s">
        <v>132</v>
      </c>
      <c r="C446" s="10" t="s">
        <v>133</v>
      </c>
      <c r="D446" s="11" t="s">
        <v>12</v>
      </c>
      <c r="E446" s="10" t="s">
        <v>13</v>
      </c>
      <c r="F446" s="12" t="s">
        <v>134</v>
      </c>
      <c r="G446" s="17" t="n">
        <v>40178</v>
      </c>
      <c r="H446" s="13" t="str">
        <f aca="false">"MK"&amp;G446</f>
        <v>MK40178</v>
      </c>
      <c r="I446" s="21" t="str">
        <f aca="false">CONCATENATE(B446, CHAR(10), D446, CHAR(10), "Tax ID: ", F446)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447" customFormat="false" ht="49.25" hidden="false" customHeight="false" outlineLevel="0" collapsed="false">
      <c r="A447" s="1" t="s">
        <v>668</v>
      </c>
      <c r="B447" s="21" t="s">
        <v>669</v>
      </c>
      <c r="D447" s="21" t="s">
        <v>442</v>
      </c>
      <c r="E447" s="14" t="s">
        <v>390</v>
      </c>
      <c r="F447" s="12"/>
      <c r="G447" s="2" t="s">
        <v>670</v>
      </c>
      <c r="H447" s="13" t="str">
        <f aca="false">"MK"&amp;G447</f>
        <v>MKAR0002</v>
      </c>
      <c r="I447" s="21" t="str">
        <f aca="false">CONCATENATE(B447, CHAR(10), D447, CHAR(10), "Tax ID: ", F447)</f>
        <v>บริษัท เอพี เอ็มอี 23 จำกัด (สำนักงานใหญ่)
170/57 อาคารโอเชี่ยนทาวเวอร์ 1 ชั้น 18 ถนนรัชดาภิเษกตัดใหม่ 
แขวงคลองเตย เขตคลองเตย กรุงเทพฯ 10110
Tax ID: </v>
      </c>
    </row>
    <row r="448" customFormat="false" ht="49.25" hidden="false" customHeight="false" outlineLevel="0" collapsed="false">
      <c r="A448" s="1" t="s">
        <v>671</v>
      </c>
      <c r="B448" s="10" t="s">
        <v>132</v>
      </c>
      <c r="C448" s="10" t="s">
        <v>133</v>
      </c>
      <c r="D448" s="11" t="s">
        <v>12</v>
      </c>
      <c r="E448" s="10" t="s">
        <v>13</v>
      </c>
      <c r="F448" s="12" t="s">
        <v>134</v>
      </c>
      <c r="G448" s="17" t="n">
        <v>40173</v>
      </c>
      <c r="H448" s="13" t="str">
        <f aca="false">"MK"&amp;G448</f>
        <v>MK40173</v>
      </c>
      <c r="I448" s="21" t="str">
        <f aca="false">CONCATENATE(B448, CHAR(10), D448, CHAR(10), "Tax ID: ", F448)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449" customFormat="false" ht="49.25" hidden="false" customHeight="false" outlineLevel="0" collapsed="false">
      <c r="A449" s="1" t="s">
        <v>672</v>
      </c>
      <c r="B449" s="10" t="s">
        <v>132</v>
      </c>
      <c r="C449" s="21" t="s">
        <v>204</v>
      </c>
      <c r="D449" s="11" t="s">
        <v>12</v>
      </c>
      <c r="F449" s="12" t="s">
        <v>205</v>
      </c>
      <c r="G449" s="17" t="n">
        <v>20044</v>
      </c>
      <c r="H449" s="13" t="str">
        <f aca="false">"MK"&amp;G449</f>
        <v>MK20044</v>
      </c>
      <c r="I449" s="21" t="str">
        <f aca="false">CONCATENATE(B449, CHAR(10), D449, CHAR(10), "Tax ID: ", F449)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450" customFormat="false" ht="49.25" hidden="false" customHeight="false" outlineLevel="0" collapsed="false">
      <c r="A450" s="33" t="s">
        <v>673</v>
      </c>
      <c r="B450" s="10" t="s">
        <v>132</v>
      </c>
      <c r="C450" s="10" t="s">
        <v>133</v>
      </c>
      <c r="D450" s="11" t="s">
        <v>12</v>
      </c>
      <c r="E450" s="10" t="s">
        <v>13</v>
      </c>
      <c r="F450" s="12" t="s">
        <v>134</v>
      </c>
      <c r="G450" s="17" t="n">
        <v>40179</v>
      </c>
      <c r="H450" s="13" t="str">
        <f aca="false">"MK"&amp;G450</f>
        <v>MK40179</v>
      </c>
      <c r="I450" s="21" t="str">
        <f aca="false">CONCATENATE(B450, CHAR(10), D450, CHAR(10), "Tax ID: ", F450)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451" customFormat="false" ht="49.25" hidden="false" customHeight="false" outlineLevel="0" collapsed="false">
      <c r="A451" s="33" t="n">
        <v>42228</v>
      </c>
      <c r="B451" s="10" t="s">
        <v>132</v>
      </c>
      <c r="C451" s="10" t="s">
        <v>133</v>
      </c>
      <c r="D451" s="11" t="s">
        <v>12</v>
      </c>
      <c r="E451" s="10" t="s">
        <v>13</v>
      </c>
      <c r="F451" s="12" t="s">
        <v>134</v>
      </c>
      <c r="G451" s="17" t="n">
        <v>42228</v>
      </c>
      <c r="H451" s="13" t="str">
        <f aca="false">"MK"&amp;G451</f>
        <v>MK42228</v>
      </c>
      <c r="I451" s="21" t="str">
        <f aca="false">CONCATENATE(B451, CHAR(10), D451, CHAR(10), "Tax ID: ", F451)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452" customFormat="false" ht="49.25" hidden="false" customHeight="false" outlineLevel="0" collapsed="false">
      <c r="A452" s="33" t="s">
        <v>674</v>
      </c>
      <c r="B452" s="10" t="s">
        <v>132</v>
      </c>
      <c r="C452" s="10" t="s">
        <v>133</v>
      </c>
      <c r="D452" s="11" t="s">
        <v>12</v>
      </c>
      <c r="E452" s="10" t="s">
        <v>13</v>
      </c>
      <c r="F452" s="12" t="s">
        <v>134</v>
      </c>
      <c r="G452" s="17" t="n">
        <v>40195</v>
      </c>
      <c r="H452" s="13" t="str">
        <f aca="false">"MK"&amp;G452</f>
        <v>MK40195</v>
      </c>
      <c r="I452" s="21" t="str">
        <f aca="false">CONCATENATE(B452, CHAR(10), D452, CHAR(10), "Tax ID: ", F452)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453" customFormat="false" ht="49.25" hidden="false" customHeight="false" outlineLevel="0" collapsed="false">
      <c r="A453" s="35" t="s">
        <v>675</v>
      </c>
      <c r="B453" s="10" t="s">
        <v>203</v>
      </c>
      <c r="C453" s="21" t="s">
        <v>204</v>
      </c>
      <c r="D453" s="11" t="s">
        <v>12</v>
      </c>
      <c r="F453" s="12" t="s">
        <v>205</v>
      </c>
      <c r="G453" s="17" t="n">
        <v>20063</v>
      </c>
      <c r="H453" s="13" t="str">
        <f aca="false">"MK"&amp;G453</f>
        <v>MK20063</v>
      </c>
      <c r="I453" s="21" t="str">
        <f aca="false">CONCATENATE(B453, CHAR(10), D453, CHAR(10), "Tax ID: ", F453)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454" customFormat="false" ht="49.25" hidden="false" customHeight="false" outlineLevel="0" collapsed="false">
      <c r="A454" s="33" t="s">
        <v>676</v>
      </c>
      <c r="B454" s="10" t="s">
        <v>203</v>
      </c>
      <c r="C454" s="21" t="s">
        <v>204</v>
      </c>
      <c r="D454" s="11" t="s">
        <v>12</v>
      </c>
      <c r="F454" s="12" t="s">
        <v>205</v>
      </c>
      <c r="G454" s="17" t="n">
        <v>20064</v>
      </c>
      <c r="H454" s="13" t="str">
        <f aca="false">"MK"&amp;G454</f>
        <v>MK20064</v>
      </c>
      <c r="I454" s="21" t="str">
        <f aca="false">CONCATENATE(B454, CHAR(10), D454, CHAR(10), "Tax ID: ", F454)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455" customFormat="false" ht="49.25" hidden="false" customHeight="false" outlineLevel="0" collapsed="false">
      <c r="A455" s="33" t="s">
        <v>677</v>
      </c>
      <c r="B455" s="10" t="s">
        <v>132</v>
      </c>
      <c r="C455" s="10" t="s">
        <v>133</v>
      </c>
      <c r="D455" s="11" t="s">
        <v>12</v>
      </c>
      <c r="E455" s="10" t="s">
        <v>13</v>
      </c>
      <c r="F455" s="12" t="s">
        <v>134</v>
      </c>
      <c r="G455" s="17" t="n">
        <v>40192</v>
      </c>
      <c r="H455" s="13" t="str">
        <f aca="false">"MK"&amp;G455</f>
        <v>MK40192</v>
      </c>
      <c r="I455" s="21" t="str">
        <f aca="false">CONCATENATE(B455, CHAR(10), D455, CHAR(10), "Tax ID: ", F455)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456" customFormat="false" ht="49.25" hidden="false" customHeight="false" outlineLevel="0" collapsed="false">
      <c r="A456" s="33" t="s">
        <v>678</v>
      </c>
      <c r="B456" s="21" t="s">
        <v>101</v>
      </c>
      <c r="C456" s="21" t="s">
        <v>102</v>
      </c>
      <c r="D456" s="21" t="s">
        <v>103</v>
      </c>
      <c r="E456" s="21" t="s">
        <v>104</v>
      </c>
      <c r="F456" s="12" t="s">
        <v>105</v>
      </c>
      <c r="G456" s="17" t="n">
        <v>70140</v>
      </c>
      <c r="H456" s="13" t="str">
        <f aca="false">"MK"&amp;G456</f>
        <v>MK70140</v>
      </c>
      <c r="I456" s="21" t="str">
        <f aca="false">CONCATENATE(B456, CHAR(10), D456, CHAR(10), "Tax ID: ", F456)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457" customFormat="false" ht="49.25" hidden="false" customHeight="false" outlineLevel="0" collapsed="false">
      <c r="A457" s="33" t="s">
        <v>679</v>
      </c>
      <c r="B457" s="10" t="s">
        <v>132</v>
      </c>
      <c r="C457" s="10" t="s">
        <v>133</v>
      </c>
      <c r="D457" s="11" t="s">
        <v>12</v>
      </c>
      <c r="E457" s="10" t="s">
        <v>13</v>
      </c>
      <c r="F457" s="12" t="s">
        <v>134</v>
      </c>
      <c r="G457" s="17" t="n">
        <v>40174</v>
      </c>
      <c r="H457" s="13" t="str">
        <f aca="false">"MK"&amp;G457</f>
        <v>MK40174</v>
      </c>
      <c r="I457" s="21" t="str">
        <f aca="false">CONCATENATE(B457, CHAR(10), D457, CHAR(10), "Tax ID: ", F457)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458" s="36" customFormat="true" ht="49.25" hidden="false" customHeight="false" outlineLevel="0" collapsed="false">
      <c r="A458" s="1" t="s">
        <v>680</v>
      </c>
      <c r="B458" s="21" t="s">
        <v>633</v>
      </c>
      <c r="C458" s="21" t="s">
        <v>512</v>
      </c>
      <c r="D458" s="21" t="s">
        <v>442</v>
      </c>
      <c r="E458" s="21" t="s">
        <v>443</v>
      </c>
      <c r="F458" s="31" t="s">
        <v>634</v>
      </c>
      <c r="G458" s="17" t="s">
        <v>681</v>
      </c>
      <c r="H458" s="13" t="str">
        <f aca="false">"MK"&amp;G458</f>
        <v>MKAU2053</v>
      </c>
      <c r="I458" s="21" t="str">
        <f aca="false">CONCATENATE(B458, CHAR(10), D458, CHAR(10), "Tax ID: ", F458)</f>
        <v>บริษัท เอพี เอ็มอี 30 จำกัด (สำนักงานใหญ่)
170/57 อาคารโอเชี่ยนทาวเวอร์ 1 ชั้น 18 ถนนรัชดาภิเษกตัดใหม่ 
แขวงคลองเตย เขตคลองเตย กรุงเทพฯ 10110
Tax ID: 0125566010741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customFormat="false" ht="49.25" hidden="false" customHeight="false" outlineLevel="0" collapsed="false">
      <c r="A459" s="33" t="s">
        <v>682</v>
      </c>
      <c r="B459" s="21" t="s">
        <v>101</v>
      </c>
      <c r="C459" s="21" t="s">
        <v>102</v>
      </c>
      <c r="D459" s="21" t="s">
        <v>103</v>
      </c>
      <c r="E459" s="21" t="s">
        <v>104</v>
      </c>
      <c r="F459" s="12" t="s">
        <v>105</v>
      </c>
      <c r="G459" s="37" t="n">
        <v>70143</v>
      </c>
      <c r="H459" s="13" t="str">
        <f aca="false">"MK"&amp;G459</f>
        <v>MK70143</v>
      </c>
      <c r="I459" s="21" t="str">
        <f aca="false">CONCATENATE(B459, CHAR(10), D459, CHAR(10), "Tax ID: ", F459)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460" s="36" customFormat="true" ht="49.25" hidden="false" customHeight="false" outlineLevel="0" collapsed="false">
      <c r="A460" s="33" t="s">
        <v>683</v>
      </c>
      <c r="B460" s="21" t="s">
        <v>101</v>
      </c>
      <c r="C460" s="21" t="s">
        <v>102</v>
      </c>
      <c r="D460" s="21" t="s">
        <v>103</v>
      </c>
      <c r="E460" s="21" t="s">
        <v>104</v>
      </c>
      <c r="F460" s="12" t="s">
        <v>105</v>
      </c>
      <c r="G460" s="37" t="n">
        <v>70149</v>
      </c>
      <c r="H460" s="13" t="str">
        <f aca="false">"MK"&amp;G460</f>
        <v>MK70149</v>
      </c>
      <c r="I460" s="21" t="str">
        <f aca="false">CONCATENATE(B460, CHAR(10), D460, CHAR(10), "Tax ID: ", F460)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customFormat="false" ht="49.25" hidden="false" customHeight="false" outlineLevel="0" collapsed="false">
      <c r="A461" s="1" t="s">
        <v>684</v>
      </c>
      <c r="B461" s="21" t="s">
        <v>101</v>
      </c>
      <c r="C461" s="21" t="s">
        <v>102</v>
      </c>
      <c r="D461" s="21" t="s">
        <v>103</v>
      </c>
      <c r="E461" s="21" t="s">
        <v>104</v>
      </c>
      <c r="F461" s="12" t="s">
        <v>105</v>
      </c>
      <c r="G461" s="37" t="n">
        <v>70155</v>
      </c>
      <c r="H461" s="13" t="str">
        <f aca="false">"MK"&amp;G461</f>
        <v>MK70155</v>
      </c>
      <c r="I461" s="21" t="str">
        <f aca="false">CONCATENATE(B461, CHAR(10), D461, CHAR(10), "Tax ID: ", F461)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462" s="36" customFormat="true" ht="49.25" hidden="false" customHeight="false" outlineLevel="0" collapsed="false">
      <c r="A462" s="1" t="s">
        <v>685</v>
      </c>
      <c r="B462" s="21" t="s">
        <v>511</v>
      </c>
      <c r="C462" s="21" t="s">
        <v>512</v>
      </c>
      <c r="D462" s="21" t="s">
        <v>442</v>
      </c>
      <c r="E462" s="21" t="s">
        <v>443</v>
      </c>
      <c r="F462" s="31" t="s">
        <v>634</v>
      </c>
      <c r="G462" s="17" t="s">
        <v>686</v>
      </c>
      <c r="H462" s="13" t="str">
        <f aca="false">"MK"&amp;G462</f>
        <v>MKAM2053</v>
      </c>
      <c r="I462" s="21" t="str">
        <f aca="false">CONCATENATE(B462, CHAR(10), D462, CHAR(10), "Tax ID: ", F462)</f>
        <v>บริษัท เอพี เอ็มอี 20 จำกัด (สำนักงานใหญ่)
170/57 อาคารโอเชี่ยนทาวเวอร์ 1 ชั้น 18 ถนนรัชดาภิเษกตัดใหม่ 
แขวงคลองเตย เขตคลองเตย กรุงเทพฯ 10110
Tax ID: 0125566010741</v>
      </c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="36" customFormat="true" ht="49.25" hidden="false" customHeight="false" outlineLevel="0" collapsed="false">
      <c r="A463" s="1" t="s">
        <v>687</v>
      </c>
      <c r="B463" s="21" t="s">
        <v>101</v>
      </c>
      <c r="C463" s="21" t="s">
        <v>102</v>
      </c>
      <c r="D463" s="21" t="s">
        <v>103</v>
      </c>
      <c r="E463" s="21" t="s">
        <v>104</v>
      </c>
      <c r="F463" s="12" t="s">
        <v>105</v>
      </c>
      <c r="G463" s="17" t="n">
        <v>70145</v>
      </c>
      <c r="H463" s="13" t="str">
        <f aca="false">"MK"&amp;G463</f>
        <v>MK70145</v>
      </c>
      <c r="I463" s="21" t="str">
        <f aca="false">CONCATENATE(B463, CHAR(10), D463, CHAR(10), "Tax ID: ", F463)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="36" customFormat="true" ht="49.25" hidden="false" customHeight="false" outlineLevel="0" collapsed="false">
      <c r="A464" s="33" t="s">
        <v>688</v>
      </c>
      <c r="B464" s="10" t="s">
        <v>132</v>
      </c>
      <c r="C464" s="10" t="s">
        <v>133</v>
      </c>
      <c r="D464" s="11" t="s">
        <v>12</v>
      </c>
      <c r="E464" s="10" t="s">
        <v>13</v>
      </c>
      <c r="F464" s="12" t="s">
        <v>134</v>
      </c>
      <c r="G464" s="17" t="n">
        <v>40185</v>
      </c>
      <c r="H464" s="13" t="str">
        <f aca="false">"MK"&amp;G464</f>
        <v>MK40185</v>
      </c>
      <c r="I464" s="21" t="str">
        <f aca="false">CONCATENATE(B464, CHAR(10), D464, CHAR(10), "Tax ID: ", F464)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="36" customFormat="true" ht="49.25" hidden="false" customHeight="false" outlineLevel="0" collapsed="false">
      <c r="A465" s="14" t="s">
        <v>689</v>
      </c>
      <c r="B465" s="10" t="s">
        <v>203</v>
      </c>
      <c r="C465" s="14" t="s">
        <v>204</v>
      </c>
      <c r="D465" s="11" t="s">
        <v>12</v>
      </c>
      <c r="E465" s="14" t="s">
        <v>13</v>
      </c>
      <c r="F465" s="12" t="s">
        <v>205</v>
      </c>
      <c r="G465" s="13" t="n">
        <v>20065</v>
      </c>
      <c r="H465" s="13" t="str">
        <f aca="false">"MK"&amp;G465</f>
        <v>MK20065</v>
      </c>
      <c r="I465" s="21" t="str">
        <f aca="false">CONCATENATE(B465, CHAR(10), D465, CHAR(10), "Tax ID: ", F465)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="36" customFormat="true" ht="49.25" hidden="false" customHeight="false" outlineLevel="0" collapsed="false">
      <c r="A466" s="14" t="s">
        <v>690</v>
      </c>
      <c r="B466" s="10" t="s">
        <v>132</v>
      </c>
      <c r="C466" s="10" t="s">
        <v>133</v>
      </c>
      <c r="D466" s="11" t="s">
        <v>12</v>
      </c>
      <c r="E466" s="10" t="s">
        <v>13</v>
      </c>
      <c r="F466" s="12" t="s">
        <v>134</v>
      </c>
      <c r="G466" s="38" t="n">
        <v>22229</v>
      </c>
      <c r="H466" s="13" t="str">
        <f aca="false">"MK"&amp;G466</f>
        <v>MK22229</v>
      </c>
      <c r="I466" s="21" t="str">
        <f aca="false">CONCATENATE(B466, CHAR(10), D466, CHAR(10), "Tax ID: ", F466)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customFormat="false" ht="49.25" hidden="false" customHeight="false" outlineLevel="0" collapsed="false">
      <c r="A467" s="14" t="s">
        <v>691</v>
      </c>
      <c r="B467" s="10" t="s">
        <v>132</v>
      </c>
      <c r="C467" s="10" t="s">
        <v>133</v>
      </c>
      <c r="D467" s="11" t="s">
        <v>12</v>
      </c>
      <c r="E467" s="10" t="s">
        <v>13</v>
      </c>
      <c r="F467" s="12" t="s">
        <v>134</v>
      </c>
      <c r="G467" s="13" t="n">
        <v>40194</v>
      </c>
      <c r="H467" s="13" t="str">
        <f aca="false">"MK"&amp;G467</f>
        <v>MK40194</v>
      </c>
      <c r="I467" s="21" t="str">
        <f aca="false">CONCATENATE(B467, CHAR(10), D467, CHAR(10), "Tax ID: ", F467)</f>
        <v>บริษัท เอเชี่ยน พร็อพเพอร์ตี้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0105553079178</v>
      </c>
    </row>
    <row r="468" customFormat="false" ht="49.25" hidden="false" customHeight="false" outlineLevel="0" collapsed="false">
      <c r="A468" s="1" t="s">
        <v>692</v>
      </c>
      <c r="B468" s="21" t="s">
        <v>101</v>
      </c>
      <c r="C468" s="21" t="s">
        <v>102</v>
      </c>
      <c r="D468" s="21" t="s">
        <v>103</v>
      </c>
      <c r="E468" s="21" t="s">
        <v>104</v>
      </c>
      <c r="F468" s="12" t="s">
        <v>105</v>
      </c>
      <c r="G468" s="2" t="n">
        <v>70154</v>
      </c>
      <c r="H468" s="13" t="str">
        <f aca="false">"MK"&amp;G468</f>
        <v>MK70154</v>
      </c>
      <c r="I468" s="21" t="str">
        <f aca="false">CONCATENATE(B468, CHAR(10), D468, CHAR(10), "Tax ID: ", F468)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469" customFormat="false" ht="49.25" hidden="false" customHeight="false" outlineLevel="0" collapsed="false">
      <c r="A469" s="1" t="s">
        <v>693</v>
      </c>
      <c r="B469" s="21" t="s">
        <v>101</v>
      </c>
      <c r="C469" s="21" t="s">
        <v>102</v>
      </c>
      <c r="D469" s="21" t="s">
        <v>103</v>
      </c>
      <c r="E469" s="21" t="s">
        <v>104</v>
      </c>
      <c r="F469" s="12" t="s">
        <v>105</v>
      </c>
      <c r="G469" s="2" t="n">
        <v>70156</v>
      </c>
      <c r="H469" s="13" t="str">
        <f aca="false">"MK"&amp;G469</f>
        <v>MK70156</v>
      </c>
      <c r="I469" s="21" t="str">
        <f aca="false">CONCATENATE(B469, CHAR(10), D469, CHAR(10), "Tax ID: ", F469)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470" customFormat="false" ht="49.25" hidden="false" customHeight="false" outlineLevel="0" collapsed="false">
      <c r="A470" s="1" t="s">
        <v>694</v>
      </c>
      <c r="B470" s="10" t="s">
        <v>132</v>
      </c>
      <c r="C470" s="10" t="s">
        <v>133</v>
      </c>
      <c r="D470" s="11" t="s">
        <v>12</v>
      </c>
      <c r="E470" s="10" t="s">
        <v>13</v>
      </c>
      <c r="F470" s="12" t="s">
        <v>134</v>
      </c>
      <c r="G470" s="36"/>
      <c r="H470" s="13" t="str">
        <f aca="false">"MK"&amp;G470</f>
        <v>MK</v>
      </c>
      <c r="I470" s="21" t="str">
        <f aca="false">CONCATENATE(B471, CHAR(10), D471, CHAR(10), "Tax ID: ", F471)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471" customFormat="false" ht="49.25" hidden="false" customHeight="false" outlineLevel="0" collapsed="false">
      <c r="A471" s="14" t="s">
        <v>695</v>
      </c>
      <c r="B471" s="10" t="s">
        <v>203</v>
      </c>
      <c r="C471" s="21" t="s">
        <v>204</v>
      </c>
      <c r="D471" s="11" t="s">
        <v>12</v>
      </c>
      <c r="F471" s="12" t="s">
        <v>205</v>
      </c>
      <c r="G471" s="2" t="n">
        <v>20066</v>
      </c>
      <c r="H471" s="13" t="str">
        <f aca="false">"MK"&amp;G471</f>
        <v>MK20066</v>
      </c>
      <c r="I471" s="21" t="str">
        <f aca="false">CONCATENATE(B471, CHAR(10), D471, CHAR(10), "Tax ID: ", F471)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472" customFormat="false" ht="49.25" hidden="false" customHeight="false" outlineLevel="0" collapsed="false">
      <c r="A472" s="1" t="s">
        <v>696</v>
      </c>
      <c r="B472" s="21" t="s">
        <v>374</v>
      </c>
      <c r="C472" s="21"/>
      <c r="D472" s="21" t="s">
        <v>375</v>
      </c>
      <c r="E472" s="10" t="s">
        <v>13</v>
      </c>
      <c r="F472" s="12" t="s">
        <v>105</v>
      </c>
      <c r="H472" s="13" t="str">
        <f aca="false">"MK"&amp;G472</f>
        <v>MK</v>
      </c>
      <c r="I472" s="21" t="str">
        <f aca="false">CONCATENATE(B472, CHAR(10), D472, CHAR(10), "Tax ID: ", F472)</f>
        <v>บริษัท เอเชี่ยน พร็อพเพอร์ตี้ (2024) จำกัด (สำนักงานใหญ่)
170/57 อาคารโอเชี่ยนทาวเวอร์ 1 ชั้นที่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473" customFormat="false" ht="49.25" hidden="false" customHeight="false" outlineLevel="0" collapsed="false">
      <c r="A473" s="1" t="s">
        <v>697</v>
      </c>
      <c r="B473" s="21" t="s">
        <v>101</v>
      </c>
      <c r="C473" s="21" t="s">
        <v>102</v>
      </c>
      <c r="D473" s="21" t="s">
        <v>103</v>
      </c>
      <c r="E473" s="21" t="s">
        <v>104</v>
      </c>
      <c r="F473" s="12" t="s">
        <v>105</v>
      </c>
      <c r="H473" s="13" t="str">
        <f aca="false">"MK"&amp;G473</f>
        <v>MK</v>
      </c>
      <c r="I473" s="21" t="str">
        <f aca="false">CONCATENATE(B473, CHAR(10), D473, CHAR(10), "Tax ID: ", F473)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474" customFormat="false" ht="49.25" hidden="false" customHeight="false" outlineLevel="0" collapsed="false">
      <c r="A474" s="14" t="s">
        <v>698</v>
      </c>
      <c r="B474" s="21" t="s">
        <v>374</v>
      </c>
      <c r="C474" s="21"/>
      <c r="D474" s="21" t="s">
        <v>375</v>
      </c>
      <c r="E474" s="10" t="s">
        <v>13</v>
      </c>
      <c r="F474" s="12" t="s">
        <v>105</v>
      </c>
      <c r="H474" s="13" t="str">
        <f aca="false">"MK"&amp;G474</f>
        <v>MK</v>
      </c>
      <c r="I474" s="21" t="str">
        <f aca="false">CONCATENATE(B474, CHAR(10), D474, CHAR(10), "Tax ID: ", F474)</f>
        <v>บริษัท เอเชี่ยน พร็อพเพอร์ตี้ (2024) จำกัด (สำนักงานใหญ่)
170/57 อาคารโอเชี่ยนทาวเวอร์ 1 ชั้นที่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475" s="36" customFormat="true" ht="49.25" hidden="false" customHeight="false" outlineLevel="0" collapsed="false">
      <c r="A475" s="14" t="s">
        <v>699</v>
      </c>
      <c r="B475" s="10" t="s">
        <v>203</v>
      </c>
      <c r="C475" s="21" t="s">
        <v>204</v>
      </c>
      <c r="D475" s="11" t="s">
        <v>12</v>
      </c>
      <c r="E475" s="1"/>
      <c r="F475" s="12" t="s">
        <v>205</v>
      </c>
      <c r="G475" s="2" t="n">
        <v>20071</v>
      </c>
      <c r="H475" s="13" t="str">
        <f aca="false">"MK"&amp;G475</f>
        <v>MK20071</v>
      </c>
      <c r="I475" s="21" t="str">
        <f aca="false">CONCATENATE(B475, CHAR(10), D475, CHAR(10), "Tax ID: ", F475)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customFormat="false" ht="49.25" hidden="false" customHeight="false" outlineLevel="0" collapsed="false">
      <c r="A476" s="14" t="s">
        <v>700</v>
      </c>
      <c r="B476" s="21" t="s">
        <v>101</v>
      </c>
      <c r="C476" s="21" t="s">
        <v>102</v>
      </c>
      <c r="D476" s="21" t="s">
        <v>103</v>
      </c>
      <c r="E476" s="21" t="s">
        <v>104</v>
      </c>
      <c r="F476" s="12" t="s">
        <v>105</v>
      </c>
      <c r="G476" s="2" t="n">
        <v>70153</v>
      </c>
      <c r="H476" s="13" t="str">
        <f aca="false">"MK"&amp;G476</f>
        <v>MK70153</v>
      </c>
      <c r="I476" s="21" t="str">
        <f aca="false">CONCATENATE(B476, CHAR(10), D476, CHAR(10), "Tax ID: ", F476)</f>
        <v>บริษัท เดอะแวลู พร็อพเพอร์ตี้ ดีเวลลอปเม้นท์ จำกัด (สำนักงานใหญ่)
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477" customFormat="false" ht="49.25" hidden="false" customHeight="false" outlineLevel="0" collapsed="false">
      <c r="A477" s="14" t="s">
        <v>701</v>
      </c>
      <c r="B477" s="10" t="s">
        <v>203</v>
      </c>
      <c r="C477" s="21" t="s">
        <v>204</v>
      </c>
      <c r="D477" s="11" t="s">
        <v>12</v>
      </c>
      <c r="F477" s="12" t="s">
        <v>205</v>
      </c>
      <c r="G477" s="39" t="n">
        <v>20067</v>
      </c>
      <c r="H477" s="13" t="str">
        <f aca="false">"MK"&amp;G477</f>
        <v>MK20067</v>
      </c>
      <c r="I477" s="21" t="str">
        <f aca="false">CONCATENATE(B477, CHAR(10), D477, CHAR(10), "Tax ID: ", F477)</f>
        <v>บริษัท เอเชี่ยน พร็อพเพอร์ตี้ (กรุงเทพ) จำกัด (สำนักงานใหญ่)
170/57 อาคารโอเชี่ยนทาวเวอร์ 1 ชั้น 18 ถ.รัชดาภิเษกตัดใหม่ 
แขวงคลองเตย เขตคลองเตย กรุงเทพฯ 10110
Tax ID: 0105537054875</v>
      </c>
    </row>
    <row r="478" customFormat="false" ht="49.25" hidden="false" customHeight="false" outlineLevel="0" collapsed="false">
      <c r="A478" s="40" t="s">
        <v>702</v>
      </c>
      <c r="B478" s="14" t="s">
        <v>703</v>
      </c>
      <c r="D478" s="21" t="s">
        <v>442</v>
      </c>
      <c r="F478" s="40" t="s">
        <v>704</v>
      </c>
      <c r="G478" s="39" t="s">
        <v>705</v>
      </c>
      <c r="H478" s="13" t="str">
        <f aca="false">"MK"&amp;G478</f>
        <v>MKWB0001</v>
      </c>
      <c r="I478" s="21" t="str">
        <f aca="false">CONCATENATE(B478, CHAR(10), D478, CHAR(10), "Tax ID: ", F478)</f>
        <v>บริษัท เอพี เอ็มอี 26 จำกัด (สำนักงานใหญ่)
170/57 อาคารโอเชี่ยนทาวเวอร์ 1 ชั้น 18 ถนนรัชดาภิเษกตัดใหม่ 
แขวงคลองเตย เขตคลองเตย กรุงเทพฯ 10110
Tax ID: 0105569014704</v>
      </c>
    </row>
    <row r="479" customFormat="false" ht="49.25" hidden="false" customHeight="false" outlineLevel="0" collapsed="false">
      <c r="A479" s="40" t="s">
        <v>706</v>
      </c>
      <c r="B479" s="21" t="s">
        <v>374</v>
      </c>
      <c r="C479" s="21"/>
      <c r="D479" s="21" t="s">
        <v>375</v>
      </c>
      <c r="E479" s="10" t="s">
        <v>13</v>
      </c>
      <c r="F479" s="12" t="s">
        <v>105</v>
      </c>
      <c r="G479" s="39" t="s">
        <v>707</v>
      </c>
      <c r="H479" s="13" t="str">
        <f aca="false">"MK"&amp;G479</f>
        <v>MKWA0010</v>
      </c>
      <c r="I479" s="21" t="str">
        <f aca="false">CONCATENATE(B479, CHAR(10), D479, CHAR(10), "Tax ID: ", F479)</f>
        <v>บริษัท เอเชี่ยน พร็อพเพอร์ตี้ (2024) จำกัด (สำนักงานใหญ่)
170/57 อาคารโอเชี่ยนทาวเวอร์ 1 ชั้นที่ 18 ซอยสุขุมวิท 16 (สามมิตร) 
ถนนรัชดาภิเษกตัดใหม่ แขวงคลองเตย เขตคลองเตย กรุงเทพมหานคร 10110
Tax ID: 0105545118836</v>
      </c>
    </row>
    <row r="480" customFormat="false" ht="12.75" hidden="false" customHeight="false" outlineLevel="0" collapsed="false">
      <c r="A480" s="14"/>
    </row>
    <row r="481" customFormat="false" ht="12.75" hidden="false" customHeight="false" outlineLevel="0" collapsed="false">
      <c r="A481" s="14"/>
    </row>
    <row r="482" customFormat="false" ht="12.75" hidden="false" customHeight="false" outlineLevel="0" collapsed="false">
      <c r="A482" s="14"/>
    </row>
    <row r="483" customFormat="false" ht="12.75" hidden="false" customHeight="false" outlineLevel="0" collapsed="false">
      <c r="A483" s="14"/>
    </row>
    <row r="484" customFormat="false" ht="12.75" hidden="false" customHeight="false" outlineLevel="0" collapsed="false">
      <c r="A484" s="14"/>
    </row>
    <row r="485" customFormat="false" ht="12.75" hidden="false" customHeight="false" outlineLevel="0" collapsed="false">
      <c r="A485" s="14"/>
    </row>
    <row r="486" customFormat="false" ht="12.75" hidden="false" customHeight="false" outlineLevel="0" collapsed="false">
      <c r="A486" s="14"/>
    </row>
    <row r="487" customFormat="false" ht="12.75" hidden="false" customHeight="false" outlineLevel="0" collapsed="false">
      <c r="A487" s="14"/>
    </row>
  </sheetData>
  <autoFilter ref="A1:I479"/>
  <conditionalFormatting sqref="G457">
    <cfRule type="duplicateValues" priority="2" aboveAverage="0" equalAverage="0" bottom="0" percent="0" rank="0" text="" dxfId="7"/>
  </conditionalFormatting>
  <conditionalFormatting sqref="G456 G459:G461">
    <cfRule type="duplicateValues" priority="3" aboveAverage="0" equalAverage="0" bottom="0" percent="0" rank="0" text="" dxfId="8"/>
  </conditionalFormatting>
  <conditionalFormatting sqref="G455">
    <cfRule type="duplicateValues" priority="4" aboveAverage="0" equalAverage="0" bottom="0" percent="0" rank="0" text="" dxfId="9"/>
  </conditionalFormatting>
  <conditionalFormatting sqref="G454">
    <cfRule type="duplicateValues" priority="5" aboveAverage="0" equalAverage="0" bottom="0" percent="0" rank="0" text="" dxfId="10"/>
  </conditionalFormatting>
  <conditionalFormatting sqref="G453">
    <cfRule type="duplicateValues" priority="6" aboveAverage="0" equalAverage="0" bottom="0" percent="0" rank="0" text="" dxfId="11"/>
  </conditionalFormatting>
  <conditionalFormatting sqref="G451">
    <cfRule type="duplicateValues" priority="7" aboveAverage="0" equalAverage="0" bottom="0" percent="0" rank="0" text="" dxfId="12"/>
  </conditionalFormatting>
  <conditionalFormatting sqref="G450">
    <cfRule type="duplicateValues" priority="8" aboveAverage="0" equalAverage="0" bottom="0" percent="0" rank="0" text="" dxfId="13"/>
  </conditionalFormatting>
  <conditionalFormatting sqref="G449">
    <cfRule type="duplicateValues" priority="9" aboveAverage="0" equalAverage="0" bottom="0" percent="0" rank="0" text="" dxfId="14"/>
  </conditionalFormatting>
  <conditionalFormatting sqref="G448">
    <cfRule type="duplicateValues" priority="10" aboveAverage="0" equalAverage="0" bottom="0" percent="0" rank="0" text="" dxfId="15"/>
  </conditionalFormatting>
  <conditionalFormatting sqref="G445:G446">
    <cfRule type="duplicateValues" priority="11" aboveAverage="0" equalAverage="0" bottom="0" percent="0" rank="0" text="" dxfId="16"/>
  </conditionalFormatting>
  <conditionalFormatting sqref="G444">
    <cfRule type="duplicateValues" priority="12" aboveAverage="0" equalAverage="0" bottom="0" percent="0" rank="0" text="" dxfId="17"/>
  </conditionalFormatting>
  <conditionalFormatting sqref="G443">
    <cfRule type="duplicateValues" priority="13" aboveAverage="0" equalAverage="0" bottom="0" percent="0" rank="0" text="" dxfId="18"/>
  </conditionalFormatting>
  <conditionalFormatting sqref="G442">
    <cfRule type="duplicateValues" priority="14" aboveAverage="0" equalAverage="0" bottom="0" percent="0" rank="0" text="" dxfId="19"/>
  </conditionalFormatting>
  <conditionalFormatting sqref="G441 G463:G464 G466">
    <cfRule type="duplicateValues" priority="15" aboveAverage="0" equalAverage="0" bottom="0" percent="0" rank="0" text="" dxfId="20"/>
  </conditionalFormatting>
  <conditionalFormatting sqref="G440">
    <cfRule type="duplicateValues" priority="16" aboveAverage="0" equalAverage="0" bottom="0" percent="0" rank="0" text="" dxfId="21"/>
  </conditionalFormatting>
  <conditionalFormatting sqref="G439">
    <cfRule type="duplicateValues" priority="17" aboveAverage="0" equalAverage="0" bottom="0" percent="0" rank="0" text="" dxfId="22"/>
  </conditionalFormatting>
  <conditionalFormatting sqref="G438">
    <cfRule type="duplicateValues" priority="18" aboveAverage="0" equalAverage="0" bottom="0" percent="0" rank="0" text="" dxfId="23"/>
  </conditionalFormatting>
  <conditionalFormatting sqref="H436">
    <cfRule type="duplicateValues" priority="19" aboveAverage="0" equalAverage="0" bottom="0" percent="0" rank="0" text="" dxfId="24"/>
  </conditionalFormatting>
  <conditionalFormatting sqref="A435:A436">
    <cfRule type="containsText" priority="20" operator="containsText" aboveAverage="0" equalAverage="0" bottom="0" percent="0" rank="0" text="hony" dxfId="25">
      <formula>NOT(ISERROR(SEARCH("hony",A435)))</formula>
    </cfRule>
  </conditionalFormatting>
  <conditionalFormatting sqref="G435:G436">
    <cfRule type="duplicateValues" priority="21" aboveAverage="0" equalAverage="0" bottom="0" percent="0" rank="0" text="" dxfId="26"/>
  </conditionalFormatting>
  <conditionalFormatting sqref="G430">
    <cfRule type="duplicateValues" priority="22" aboveAverage="0" equalAverage="0" bottom="0" percent="0" rank="0" text="" dxfId="27"/>
  </conditionalFormatting>
  <conditionalFormatting sqref="G429 G431">
    <cfRule type="duplicateValues" priority="23" aboveAverage="0" equalAverage="0" bottom="0" percent="0" rank="0" text="" dxfId="28"/>
  </conditionalFormatting>
  <conditionalFormatting sqref="G422 G458">
    <cfRule type="duplicateValues" priority="24" aboveAverage="0" equalAverage="0" bottom="0" percent="0" rank="0" text="" dxfId="29"/>
  </conditionalFormatting>
  <conditionalFormatting sqref="G421">
    <cfRule type="duplicateValues" priority="25" aboveAverage="0" equalAverage="0" bottom="0" percent="0" rank="0" text="" dxfId="30"/>
  </conditionalFormatting>
  <conditionalFormatting sqref="G420">
    <cfRule type="duplicateValues" priority="26" aboveAverage="0" equalAverage="0" bottom="0" percent="0" rank="0" text="" dxfId="31"/>
  </conditionalFormatting>
  <conditionalFormatting sqref="G416">
    <cfRule type="duplicateValues" priority="27" aboveAverage="0" equalAverage="0" bottom="0" percent="0" rank="0" text="" dxfId="32"/>
  </conditionalFormatting>
  <conditionalFormatting sqref="G409">
    <cfRule type="duplicateValues" priority="28" aboveAverage="0" equalAverage="0" bottom="0" percent="0" rank="0" text="" dxfId="33"/>
  </conditionalFormatting>
  <conditionalFormatting sqref="G406">
    <cfRule type="duplicateValues" priority="29" aboveAverage="0" equalAverage="0" bottom="0" percent="0" rank="0" text="" dxfId="34"/>
  </conditionalFormatting>
  <conditionalFormatting sqref="G405">
    <cfRule type="duplicateValues" priority="30" aboveAverage="0" equalAverage="0" bottom="0" percent="0" rank="0" text="" dxfId="35"/>
  </conditionalFormatting>
  <conditionalFormatting sqref="H353">
    <cfRule type="duplicateValues" priority="31" aboveAverage="0" equalAverage="0" bottom="0" percent="0" rank="0" text="" dxfId="36"/>
  </conditionalFormatting>
  <conditionalFormatting sqref="G396:G398 G400 G402:G404 G407:G408 G410:G415 G417:G419 G423:G428 G432:G434">
    <cfRule type="duplicateValues" priority="32" aboveAverage="0" equalAverage="0" bottom="0" percent="0" rank="0" text="" dxfId="37"/>
  </conditionalFormatting>
  <conditionalFormatting sqref="G390">
    <cfRule type="duplicateValues" priority="33" aboveAverage="0" equalAverage="0" bottom="0" percent="0" rank="0" text="" dxfId="38"/>
  </conditionalFormatting>
  <conditionalFormatting sqref="G380">
    <cfRule type="duplicateValues" priority="34" aboveAverage="0" equalAverage="0" bottom="0" percent="0" rank="0" text="" dxfId="39"/>
  </conditionalFormatting>
  <conditionalFormatting sqref="A347">
    <cfRule type="containsText" priority="35" operator="containsText" aboveAverage="0" equalAverage="0" bottom="0" percent="0" rank="0" text="hony" dxfId="40">
      <formula>NOT(ISERROR(SEARCH("hony",A347)))</formula>
    </cfRule>
  </conditionalFormatting>
  <conditionalFormatting sqref="G361:G375 G2:G359">
    <cfRule type="duplicateValues" priority="36" aboveAverage="0" equalAverage="0" bottom="0" percent="0" rank="0" text="" dxfId="41"/>
  </conditionalFormatting>
  <conditionalFormatting sqref="G452">
    <cfRule type="duplicateValues" priority="37" aboveAverage="0" equalAverage="0" bottom="0" percent="0" rank="0" text="" dxfId="42"/>
  </conditionalFormatting>
  <conditionalFormatting sqref="G462">
    <cfRule type="duplicateValues" priority="38" aboveAverage="0" equalAverage="0" bottom="0" percent="0" rank="0" text="" dxfId="29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6" activeCellId="0" sqref="K16"/>
    </sheetView>
  </sheetViews>
  <sheetFormatPr defaultColWidth="8.71484375" defaultRowHeight="12.75" customHeight="false" zeroHeight="false" outlineLevelRow="0" outlineLevelCol="0"/>
  <cols>
    <col collapsed="false" customWidth="true" hidden="false" outlineLevel="0" max="1" min="1" style="36" width="13.86"/>
    <col collapsed="false" customWidth="true" hidden="false" outlineLevel="0" max="2" min="2" style="36" width="15.71"/>
    <col collapsed="false" customWidth="true" hidden="false" outlineLevel="0" max="3" min="3" style="36" width="12.29"/>
    <col collapsed="false" customWidth="true" hidden="false" outlineLevel="0" max="4" min="4" style="36" width="11.29"/>
    <col collapsed="false" customWidth="true" hidden="false" outlineLevel="0" max="13" min="5" style="36" width="12.29"/>
    <col collapsed="false" customWidth="true" hidden="false" outlineLevel="0" max="14" min="14" style="36" width="11.29"/>
    <col collapsed="false" customWidth="true" hidden="false" outlineLevel="0" max="17" min="15" style="36" width="12.29"/>
    <col collapsed="false" customWidth="true" hidden="false" outlineLevel="0" max="18" min="18" style="36" width="14.71"/>
    <col collapsed="false" customWidth="true" hidden="false" outlineLevel="0" max="20" min="19" style="36" width="13.15"/>
    <col collapsed="false" customWidth="true" hidden="false" outlineLevel="0" max="21" min="21" style="36" width="7.16"/>
    <col collapsed="false" customWidth="true" hidden="false" outlineLevel="0" max="22" min="22" style="36" width="11.71"/>
  </cols>
  <sheetData>
    <row r="3" customFormat="false" ht="12.75" hidden="false" customHeight="false" outlineLevel="0" collapsed="false">
      <c r="A3" s="41" t="s">
        <v>6</v>
      </c>
      <c r="B3" s="42" t="s">
        <v>708</v>
      </c>
    </row>
    <row r="4" customFormat="false" ht="12.75" hidden="false" customHeight="false" outlineLevel="0" collapsed="false">
      <c r="A4" s="43" t="n">
        <v>1202</v>
      </c>
      <c r="B4" s="44" t="n">
        <v>1</v>
      </c>
    </row>
    <row r="5" customFormat="false" ht="12.75" hidden="false" customHeight="false" outlineLevel="0" collapsed="false">
      <c r="A5" s="45" t="n">
        <v>1207</v>
      </c>
      <c r="B5" s="46" t="n">
        <v>1</v>
      </c>
    </row>
    <row r="6" customFormat="false" ht="12.75" hidden="false" customHeight="false" outlineLevel="0" collapsed="false">
      <c r="A6" s="45" t="n">
        <v>1214</v>
      </c>
      <c r="B6" s="46" t="n">
        <v>1</v>
      </c>
    </row>
    <row r="7" customFormat="false" ht="12.75" hidden="false" customHeight="false" outlineLevel="0" collapsed="false">
      <c r="A7" s="45" t="n">
        <v>2013</v>
      </c>
      <c r="B7" s="46" t="n">
        <v>1</v>
      </c>
    </row>
    <row r="8" customFormat="false" ht="12.75" hidden="false" customHeight="false" outlineLevel="0" collapsed="false">
      <c r="A8" s="45" t="n">
        <v>2014</v>
      </c>
      <c r="B8" s="46" t="n">
        <v>1</v>
      </c>
    </row>
    <row r="9" customFormat="false" ht="12.75" hidden="false" customHeight="false" outlineLevel="0" collapsed="false">
      <c r="A9" s="45" t="n">
        <v>2017</v>
      </c>
      <c r="B9" s="46" t="n">
        <v>1</v>
      </c>
    </row>
    <row r="10" customFormat="false" ht="12.75" hidden="false" customHeight="false" outlineLevel="0" collapsed="false">
      <c r="A10" s="45" t="n">
        <v>2018</v>
      </c>
      <c r="B10" s="46" t="n">
        <v>1</v>
      </c>
    </row>
    <row r="11" customFormat="false" ht="12.75" hidden="false" customHeight="false" outlineLevel="0" collapsed="false">
      <c r="A11" s="45" t="n">
        <v>2020</v>
      </c>
      <c r="B11" s="46" t="n">
        <v>1</v>
      </c>
    </row>
    <row r="12" customFormat="false" ht="12.75" hidden="false" customHeight="false" outlineLevel="0" collapsed="false">
      <c r="A12" s="45" t="n">
        <v>2021</v>
      </c>
      <c r="B12" s="46" t="n">
        <v>1</v>
      </c>
    </row>
    <row r="13" customFormat="false" ht="12.75" hidden="false" customHeight="false" outlineLevel="0" collapsed="false">
      <c r="A13" s="45" t="n">
        <v>2023</v>
      </c>
      <c r="B13" s="46" t="n">
        <v>1</v>
      </c>
    </row>
    <row r="14" customFormat="false" ht="12.75" hidden="false" customHeight="false" outlineLevel="0" collapsed="false">
      <c r="A14" s="45" t="n">
        <v>2024</v>
      </c>
      <c r="B14" s="46" t="n">
        <v>1</v>
      </c>
    </row>
    <row r="15" customFormat="false" ht="12.75" hidden="false" customHeight="false" outlineLevel="0" collapsed="false">
      <c r="A15" s="45" t="n">
        <v>2025</v>
      </c>
      <c r="B15" s="46" t="n">
        <v>1</v>
      </c>
    </row>
    <row r="16" customFormat="false" ht="12.75" hidden="false" customHeight="false" outlineLevel="0" collapsed="false">
      <c r="A16" s="45" t="n">
        <v>2026</v>
      </c>
      <c r="B16" s="46" t="n">
        <v>1</v>
      </c>
    </row>
    <row r="17" customFormat="false" ht="12.75" hidden="false" customHeight="false" outlineLevel="0" collapsed="false">
      <c r="A17" s="45" t="n">
        <v>2027</v>
      </c>
      <c r="B17" s="46" t="n">
        <v>1</v>
      </c>
    </row>
    <row r="18" customFormat="false" ht="12.75" hidden="false" customHeight="false" outlineLevel="0" collapsed="false">
      <c r="A18" s="45" t="n">
        <v>2029</v>
      </c>
      <c r="B18" s="46" t="n">
        <v>1</v>
      </c>
    </row>
    <row r="19" customFormat="false" ht="12.75" hidden="false" customHeight="false" outlineLevel="0" collapsed="false">
      <c r="A19" s="45" t="n">
        <v>2030</v>
      </c>
      <c r="B19" s="46" t="n">
        <v>1</v>
      </c>
    </row>
    <row r="20" customFormat="false" ht="12.75" hidden="false" customHeight="false" outlineLevel="0" collapsed="false">
      <c r="A20" s="45" t="n">
        <v>2031</v>
      </c>
      <c r="B20" s="46" t="n">
        <v>1</v>
      </c>
    </row>
    <row r="21" customFormat="false" ht="12.75" hidden="false" customHeight="false" outlineLevel="0" collapsed="false">
      <c r="A21" s="45" t="n">
        <v>2037</v>
      </c>
      <c r="B21" s="46" t="n">
        <v>1</v>
      </c>
    </row>
    <row r="22" customFormat="false" ht="12.75" hidden="false" customHeight="false" outlineLevel="0" collapsed="false">
      <c r="A22" s="45" t="n">
        <v>2039</v>
      </c>
      <c r="B22" s="46" t="n">
        <v>1</v>
      </c>
    </row>
    <row r="23" customFormat="false" ht="12.75" hidden="false" customHeight="false" outlineLevel="0" collapsed="false">
      <c r="A23" s="45" t="n">
        <v>2040</v>
      </c>
      <c r="B23" s="46" t="n">
        <v>1</v>
      </c>
    </row>
    <row r="24" customFormat="false" ht="12.75" hidden="false" customHeight="false" outlineLevel="0" collapsed="false">
      <c r="A24" s="45" t="n">
        <v>2042</v>
      </c>
      <c r="B24" s="46" t="n">
        <v>1</v>
      </c>
    </row>
    <row r="25" customFormat="false" ht="12.75" hidden="false" customHeight="false" outlineLevel="0" collapsed="false">
      <c r="A25" s="45" t="n">
        <v>2044</v>
      </c>
      <c r="B25" s="46" t="n">
        <v>1</v>
      </c>
    </row>
    <row r="26" customFormat="false" ht="12.75" hidden="false" customHeight="false" outlineLevel="0" collapsed="false">
      <c r="A26" s="45" t="n">
        <v>2046</v>
      </c>
      <c r="B26" s="46" t="n">
        <v>1</v>
      </c>
    </row>
    <row r="27" customFormat="false" ht="12.75" hidden="false" customHeight="false" outlineLevel="0" collapsed="false">
      <c r="A27" s="45" t="n">
        <v>2047</v>
      </c>
      <c r="B27" s="46" t="n">
        <v>1</v>
      </c>
    </row>
    <row r="28" customFormat="false" ht="12.75" hidden="false" customHeight="false" outlineLevel="0" collapsed="false">
      <c r="A28" s="45" t="n">
        <v>2048</v>
      </c>
      <c r="B28" s="46" t="n">
        <v>1</v>
      </c>
    </row>
    <row r="29" customFormat="false" ht="12.75" hidden="false" customHeight="false" outlineLevel="0" collapsed="false">
      <c r="A29" s="45" t="n">
        <v>2049</v>
      </c>
      <c r="B29" s="46" t="n">
        <v>1</v>
      </c>
    </row>
    <row r="30" customFormat="false" ht="12.75" hidden="false" customHeight="false" outlineLevel="0" collapsed="false">
      <c r="A30" s="45" t="n">
        <v>2050</v>
      </c>
      <c r="B30" s="46" t="n">
        <v>1</v>
      </c>
    </row>
    <row r="31" customFormat="false" ht="12.75" hidden="false" customHeight="false" outlineLevel="0" collapsed="false">
      <c r="A31" s="45" t="n">
        <v>4017</v>
      </c>
      <c r="B31" s="46" t="n">
        <v>1</v>
      </c>
    </row>
    <row r="32" customFormat="false" ht="12.75" hidden="false" customHeight="false" outlineLevel="0" collapsed="false">
      <c r="A32" s="45" t="n">
        <v>4022</v>
      </c>
      <c r="B32" s="46" t="n">
        <v>1</v>
      </c>
    </row>
    <row r="33" customFormat="false" ht="12.75" hidden="false" customHeight="false" outlineLevel="0" collapsed="false">
      <c r="A33" s="45" t="n">
        <v>4028</v>
      </c>
      <c r="B33" s="46" t="n">
        <v>1</v>
      </c>
    </row>
    <row r="34" customFormat="false" ht="12.75" hidden="false" customHeight="false" outlineLevel="0" collapsed="false">
      <c r="A34" s="45" t="n">
        <v>4031</v>
      </c>
      <c r="B34" s="46" t="n">
        <v>1</v>
      </c>
    </row>
    <row r="35" customFormat="false" ht="12.75" hidden="false" customHeight="false" outlineLevel="0" collapsed="false">
      <c r="A35" s="45" t="n">
        <v>4033</v>
      </c>
      <c r="B35" s="46" t="n">
        <v>1</v>
      </c>
    </row>
    <row r="36" customFormat="false" ht="12.75" hidden="false" customHeight="false" outlineLevel="0" collapsed="false">
      <c r="A36" s="45" t="n">
        <v>4034</v>
      </c>
      <c r="B36" s="46" t="n">
        <v>1</v>
      </c>
    </row>
    <row r="37" customFormat="false" ht="12.75" hidden="false" customHeight="false" outlineLevel="0" collapsed="false">
      <c r="A37" s="45" t="n">
        <v>4037</v>
      </c>
      <c r="B37" s="46" t="n">
        <v>1</v>
      </c>
    </row>
    <row r="38" customFormat="false" ht="12.75" hidden="false" customHeight="false" outlineLevel="0" collapsed="false">
      <c r="A38" s="45" t="n">
        <v>4043</v>
      </c>
      <c r="B38" s="46" t="n">
        <v>1</v>
      </c>
    </row>
    <row r="39" customFormat="false" ht="12.75" hidden="false" customHeight="false" outlineLevel="0" collapsed="false">
      <c r="A39" s="45" t="n">
        <v>4044</v>
      </c>
      <c r="B39" s="46" t="n">
        <v>1</v>
      </c>
    </row>
    <row r="40" customFormat="false" ht="12.75" hidden="false" customHeight="false" outlineLevel="0" collapsed="false">
      <c r="A40" s="45" t="n">
        <v>4045</v>
      </c>
      <c r="B40" s="46" t="n">
        <v>1</v>
      </c>
    </row>
    <row r="41" customFormat="false" ht="12.75" hidden="false" customHeight="false" outlineLevel="0" collapsed="false">
      <c r="A41" s="45" t="n">
        <v>4046</v>
      </c>
      <c r="B41" s="46" t="n">
        <v>1</v>
      </c>
    </row>
    <row r="42" customFormat="false" ht="12.75" hidden="false" customHeight="false" outlineLevel="0" collapsed="false">
      <c r="A42" s="45" t="n">
        <v>4049</v>
      </c>
      <c r="B42" s="46" t="n">
        <v>1</v>
      </c>
    </row>
    <row r="43" customFormat="false" ht="12.75" hidden="false" customHeight="false" outlineLevel="0" collapsed="false">
      <c r="A43" s="45" t="n">
        <v>4051</v>
      </c>
      <c r="B43" s="46" t="n">
        <v>1</v>
      </c>
    </row>
    <row r="44" customFormat="false" ht="12.75" hidden="false" customHeight="false" outlineLevel="0" collapsed="false">
      <c r="A44" s="45" t="n">
        <v>4054</v>
      </c>
      <c r="B44" s="46" t="n">
        <v>1</v>
      </c>
    </row>
    <row r="45" customFormat="false" ht="12.75" hidden="false" customHeight="false" outlineLevel="0" collapsed="false">
      <c r="A45" s="45" t="n">
        <v>4055</v>
      </c>
      <c r="B45" s="46" t="n">
        <v>1</v>
      </c>
    </row>
    <row r="46" customFormat="false" ht="12.75" hidden="false" customHeight="false" outlineLevel="0" collapsed="false">
      <c r="A46" s="45" t="n">
        <v>4058</v>
      </c>
      <c r="B46" s="46" t="n">
        <v>1</v>
      </c>
    </row>
    <row r="47" customFormat="false" ht="12.75" hidden="false" customHeight="false" outlineLevel="0" collapsed="false">
      <c r="A47" s="45" t="n">
        <v>4061</v>
      </c>
      <c r="B47" s="46" t="n">
        <v>1</v>
      </c>
    </row>
    <row r="48" customFormat="false" ht="12.75" hidden="false" customHeight="false" outlineLevel="0" collapsed="false">
      <c r="A48" s="45" t="n">
        <v>4062</v>
      </c>
      <c r="B48" s="46" t="n">
        <v>1</v>
      </c>
    </row>
    <row r="49" customFormat="false" ht="12.75" hidden="false" customHeight="false" outlineLevel="0" collapsed="false">
      <c r="A49" s="45" t="n">
        <v>4064</v>
      </c>
      <c r="B49" s="46" t="n">
        <v>1</v>
      </c>
    </row>
    <row r="50" customFormat="false" ht="12.75" hidden="false" customHeight="false" outlineLevel="0" collapsed="false">
      <c r="A50" s="45" t="n">
        <v>4065</v>
      </c>
      <c r="B50" s="46" t="n">
        <v>1</v>
      </c>
    </row>
    <row r="51" customFormat="false" ht="12.75" hidden="false" customHeight="false" outlineLevel="0" collapsed="false">
      <c r="A51" s="45" t="n">
        <v>4066</v>
      </c>
      <c r="B51" s="46" t="n">
        <v>1</v>
      </c>
    </row>
    <row r="52" customFormat="false" ht="12.75" hidden="false" customHeight="false" outlineLevel="0" collapsed="false">
      <c r="A52" s="45" t="n">
        <v>4067</v>
      </c>
      <c r="B52" s="46" t="n">
        <v>1</v>
      </c>
    </row>
    <row r="53" customFormat="false" ht="12.75" hidden="false" customHeight="false" outlineLevel="0" collapsed="false">
      <c r="A53" s="45" t="n">
        <v>4068</v>
      </c>
      <c r="B53" s="46" t="n">
        <v>1</v>
      </c>
    </row>
    <row r="54" customFormat="false" ht="12.75" hidden="false" customHeight="false" outlineLevel="0" collapsed="false">
      <c r="A54" s="45" t="n">
        <v>4069</v>
      </c>
      <c r="B54" s="46" t="n">
        <v>1</v>
      </c>
    </row>
    <row r="55" customFormat="false" ht="12.75" hidden="false" customHeight="false" outlineLevel="0" collapsed="false">
      <c r="A55" s="45" t="n">
        <v>4070</v>
      </c>
      <c r="B55" s="46" t="n">
        <v>1</v>
      </c>
    </row>
    <row r="56" customFormat="false" ht="12.75" hidden="false" customHeight="false" outlineLevel="0" collapsed="false">
      <c r="A56" s="45" t="n">
        <v>4071</v>
      </c>
      <c r="B56" s="46" t="n">
        <v>1</v>
      </c>
    </row>
    <row r="57" customFormat="false" ht="12.75" hidden="false" customHeight="false" outlineLevel="0" collapsed="false">
      <c r="A57" s="45" t="n">
        <v>4072</v>
      </c>
      <c r="B57" s="46" t="n">
        <v>1</v>
      </c>
    </row>
    <row r="58" customFormat="false" ht="12.75" hidden="false" customHeight="false" outlineLevel="0" collapsed="false">
      <c r="A58" s="45" t="n">
        <v>4074</v>
      </c>
      <c r="B58" s="46" t="n">
        <v>1</v>
      </c>
    </row>
    <row r="59" customFormat="false" ht="12.75" hidden="false" customHeight="false" outlineLevel="0" collapsed="false">
      <c r="A59" s="45" t="n">
        <v>4075</v>
      </c>
      <c r="B59" s="46" t="n">
        <v>1</v>
      </c>
    </row>
    <row r="60" customFormat="false" ht="12.75" hidden="false" customHeight="false" outlineLevel="0" collapsed="false">
      <c r="A60" s="45" t="n">
        <v>4076</v>
      </c>
      <c r="B60" s="46" t="n">
        <v>1</v>
      </c>
    </row>
    <row r="61" customFormat="false" ht="12.75" hidden="false" customHeight="false" outlineLevel="0" collapsed="false">
      <c r="A61" s="45" t="n">
        <v>4077</v>
      </c>
      <c r="B61" s="46" t="n">
        <v>1</v>
      </c>
    </row>
    <row r="62" customFormat="false" ht="12.75" hidden="false" customHeight="false" outlineLevel="0" collapsed="false">
      <c r="A62" s="45" t="n">
        <v>4078</v>
      </c>
      <c r="B62" s="46" t="n">
        <v>1</v>
      </c>
    </row>
    <row r="63" customFormat="false" ht="12.75" hidden="false" customHeight="false" outlineLevel="0" collapsed="false">
      <c r="A63" s="45" t="n">
        <v>4081</v>
      </c>
      <c r="B63" s="46" t="n">
        <v>1</v>
      </c>
    </row>
    <row r="64" customFormat="false" ht="12.75" hidden="false" customHeight="false" outlineLevel="0" collapsed="false">
      <c r="A64" s="45" t="n">
        <v>4082</v>
      </c>
      <c r="B64" s="46" t="n">
        <v>1</v>
      </c>
    </row>
    <row r="65" customFormat="false" ht="12.75" hidden="false" customHeight="false" outlineLevel="0" collapsed="false">
      <c r="A65" s="45" t="n">
        <v>4083</v>
      </c>
      <c r="B65" s="46" t="n">
        <v>1</v>
      </c>
    </row>
    <row r="66" customFormat="false" ht="12.75" hidden="false" customHeight="false" outlineLevel="0" collapsed="false">
      <c r="A66" s="45" t="n">
        <v>4084</v>
      </c>
      <c r="B66" s="46" t="n">
        <v>1</v>
      </c>
    </row>
    <row r="67" customFormat="false" ht="12.75" hidden="false" customHeight="false" outlineLevel="0" collapsed="false">
      <c r="A67" s="45" t="n">
        <v>4085</v>
      </c>
      <c r="B67" s="46" t="n">
        <v>1</v>
      </c>
    </row>
    <row r="68" customFormat="false" ht="12.75" hidden="false" customHeight="false" outlineLevel="0" collapsed="false">
      <c r="A68" s="45" t="n">
        <v>4086</v>
      </c>
      <c r="B68" s="46" t="n">
        <v>1</v>
      </c>
    </row>
    <row r="69" customFormat="false" ht="12.75" hidden="false" customHeight="false" outlineLevel="0" collapsed="false">
      <c r="A69" s="45" t="n">
        <v>4087</v>
      </c>
      <c r="B69" s="46" t="n">
        <v>1</v>
      </c>
    </row>
    <row r="70" customFormat="false" ht="12.75" hidden="false" customHeight="false" outlineLevel="0" collapsed="false">
      <c r="A70" s="45" t="n">
        <v>4088</v>
      </c>
      <c r="B70" s="46" t="n">
        <v>1</v>
      </c>
    </row>
    <row r="71" customFormat="false" ht="12.75" hidden="false" customHeight="false" outlineLevel="0" collapsed="false">
      <c r="A71" s="45" t="n">
        <v>4091</v>
      </c>
      <c r="B71" s="46" t="n">
        <v>1</v>
      </c>
    </row>
    <row r="72" customFormat="false" ht="12.75" hidden="false" customHeight="false" outlineLevel="0" collapsed="false">
      <c r="A72" s="45" t="n">
        <v>4092</v>
      </c>
      <c r="B72" s="46" t="n">
        <v>1</v>
      </c>
    </row>
    <row r="73" customFormat="false" ht="12.75" hidden="false" customHeight="false" outlineLevel="0" collapsed="false">
      <c r="A73" s="45" t="n">
        <v>4093</v>
      </c>
      <c r="B73" s="46" t="n">
        <v>1</v>
      </c>
    </row>
    <row r="74" customFormat="false" ht="12.75" hidden="false" customHeight="false" outlineLevel="0" collapsed="false">
      <c r="A74" s="45" t="n">
        <v>4094</v>
      </c>
      <c r="B74" s="46" t="n">
        <v>1</v>
      </c>
    </row>
    <row r="75" customFormat="false" ht="12.75" hidden="false" customHeight="false" outlineLevel="0" collapsed="false">
      <c r="A75" s="45" t="n">
        <v>4096</v>
      </c>
      <c r="B75" s="46" t="n">
        <v>1</v>
      </c>
    </row>
    <row r="76" customFormat="false" ht="12.75" hidden="false" customHeight="false" outlineLevel="0" collapsed="false">
      <c r="A76" s="45" t="n">
        <v>4097</v>
      </c>
      <c r="B76" s="46" t="n">
        <v>1</v>
      </c>
    </row>
    <row r="77" customFormat="false" ht="12.75" hidden="false" customHeight="false" outlineLevel="0" collapsed="false">
      <c r="A77" s="45" t="n">
        <v>4098</v>
      </c>
      <c r="B77" s="46" t="n">
        <v>1</v>
      </c>
    </row>
    <row r="78" customFormat="false" ht="12.75" hidden="false" customHeight="false" outlineLevel="0" collapsed="false">
      <c r="A78" s="45" t="n">
        <v>4100</v>
      </c>
      <c r="B78" s="46" t="n">
        <v>1</v>
      </c>
    </row>
    <row r="79" customFormat="false" ht="12.75" hidden="false" customHeight="false" outlineLevel="0" collapsed="false">
      <c r="A79" s="45" t="n">
        <v>4101</v>
      </c>
      <c r="B79" s="46" t="n">
        <v>1</v>
      </c>
    </row>
    <row r="80" customFormat="false" ht="12.75" hidden="false" customHeight="false" outlineLevel="0" collapsed="false">
      <c r="A80" s="45" t="n">
        <v>4102</v>
      </c>
      <c r="B80" s="46" t="n">
        <v>1</v>
      </c>
    </row>
    <row r="81" customFormat="false" ht="12.75" hidden="false" customHeight="false" outlineLevel="0" collapsed="false">
      <c r="A81" s="45" t="n">
        <v>4103</v>
      </c>
      <c r="B81" s="46" t="n">
        <v>1</v>
      </c>
    </row>
    <row r="82" customFormat="false" ht="12.75" hidden="false" customHeight="false" outlineLevel="0" collapsed="false">
      <c r="A82" s="45" t="n">
        <v>4104</v>
      </c>
      <c r="B82" s="46" t="n">
        <v>1</v>
      </c>
    </row>
    <row r="83" customFormat="false" ht="12.75" hidden="false" customHeight="false" outlineLevel="0" collapsed="false">
      <c r="A83" s="45" t="n">
        <v>4105</v>
      </c>
      <c r="B83" s="46" t="n">
        <v>1</v>
      </c>
    </row>
    <row r="84" customFormat="false" ht="12.75" hidden="false" customHeight="false" outlineLevel="0" collapsed="false">
      <c r="A84" s="45" t="n">
        <v>4108</v>
      </c>
      <c r="B84" s="46" t="n">
        <v>1</v>
      </c>
    </row>
    <row r="85" customFormat="false" ht="12.75" hidden="false" customHeight="false" outlineLevel="0" collapsed="false">
      <c r="A85" s="45" t="n">
        <v>4109</v>
      </c>
      <c r="B85" s="46" t="n">
        <v>1</v>
      </c>
    </row>
    <row r="86" customFormat="false" ht="12.75" hidden="false" customHeight="false" outlineLevel="0" collapsed="false">
      <c r="A86" s="45" t="n">
        <v>4111</v>
      </c>
      <c r="B86" s="46" t="n">
        <v>1</v>
      </c>
    </row>
    <row r="87" customFormat="false" ht="12.75" hidden="false" customHeight="false" outlineLevel="0" collapsed="false">
      <c r="A87" s="45" t="n">
        <v>4112</v>
      </c>
      <c r="B87" s="46" t="n">
        <v>1</v>
      </c>
    </row>
    <row r="88" customFormat="false" ht="12.75" hidden="false" customHeight="false" outlineLevel="0" collapsed="false">
      <c r="A88" s="45" t="n">
        <v>4113</v>
      </c>
      <c r="B88" s="46" t="n">
        <v>1</v>
      </c>
    </row>
    <row r="89" customFormat="false" ht="12.75" hidden="false" customHeight="false" outlineLevel="0" collapsed="false">
      <c r="A89" s="45" t="n">
        <v>4114</v>
      </c>
      <c r="B89" s="46" t="n">
        <v>1</v>
      </c>
    </row>
    <row r="90" customFormat="false" ht="12.75" hidden="false" customHeight="false" outlineLevel="0" collapsed="false">
      <c r="A90" s="45" t="n">
        <v>4115</v>
      </c>
      <c r="B90" s="46" t="n">
        <v>1</v>
      </c>
    </row>
    <row r="91" customFormat="false" ht="12.75" hidden="false" customHeight="false" outlineLevel="0" collapsed="false">
      <c r="A91" s="45" t="n">
        <v>4116</v>
      </c>
      <c r="B91" s="46" t="n">
        <v>1</v>
      </c>
    </row>
    <row r="92" customFormat="false" ht="12.75" hidden="false" customHeight="false" outlineLevel="0" collapsed="false">
      <c r="A92" s="45" t="n">
        <v>4118</v>
      </c>
      <c r="B92" s="46" t="n">
        <v>1</v>
      </c>
    </row>
    <row r="93" customFormat="false" ht="12.75" hidden="false" customHeight="false" outlineLevel="0" collapsed="false">
      <c r="A93" s="45" t="n">
        <v>4119</v>
      </c>
      <c r="B93" s="46" t="n">
        <v>1</v>
      </c>
    </row>
    <row r="94" customFormat="false" ht="12.75" hidden="false" customHeight="false" outlineLevel="0" collapsed="false">
      <c r="A94" s="45" t="n">
        <v>4125</v>
      </c>
      <c r="B94" s="46" t="n">
        <v>1</v>
      </c>
    </row>
    <row r="95" customFormat="false" ht="12.75" hidden="false" customHeight="false" outlineLevel="0" collapsed="false">
      <c r="A95" s="45" t="n">
        <v>4129</v>
      </c>
      <c r="B95" s="46" t="n">
        <v>1</v>
      </c>
    </row>
    <row r="96" customFormat="false" ht="12.75" hidden="false" customHeight="false" outlineLevel="0" collapsed="false">
      <c r="A96" s="45" t="n">
        <v>7000</v>
      </c>
      <c r="B96" s="46" t="n">
        <v>1</v>
      </c>
    </row>
    <row r="97" customFormat="false" ht="12.75" hidden="false" customHeight="false" outlineLevel="0" collapsed="false">
      <c r="A97" s="45" t="n">
        <v>7009</v>
      </c>
      <c r="B97" s="46" t="n">
        <v>1</v>
      </c>
    </row>
    <row r="98" customFormat="false" ht="12.75" hidden="false" customHeight="false" outlineLevel="0" collapsed="false">
      <c r="A98" s="45" t="n">
        <v>7021</v>
      </c>
      <c r="B98" s="46" t="n">
        <v>1</v>
      </c>
    </row>
    <row r="99" customFormat="false" ht="12.75" hidden="false" customHeight="false" outlineLevel="0" collapsed="false">
      <c r="A99" s="45" t="n">
        <v>7026</v>
      </c>
      <c r="B99" s="46" t="n">
        <v>1</v>
      </c>
    </row>
    <row r="100" customFormat="false" ht="12.75" hidden="false" customHeight="false" outlineLevel="0" collapsed="false">
      <c r="A100" s="45" t="n">
        <v>7030</v>
      </c>
      <c r="B100" s="46" t="n">
        <v>1</v>
      </c>
    </row>
    <row r="101" customFormat="false" ht="12.75" hidden="false" customHeight="false" outlineLevel="0" collapsed="false">
      <c r="A101" s="45" t="n">
        <v>7034</v>
      </c>
      <c r="B101" s="46" t="n">
        <v>1</v>
      </c>
    </row>
    <row r="102" customFormat="false" ht="12.75" hidden="false" customHeight="false" outlineLevel="0" collapsed="false">
      <c r="A102" s="45" t="n">
        <v>7037</v>
      </c>
      <c r="B102" s="46" t="n">
        <v>1</v>
      </c>
    </row>
    <row r="103" customFormat="false" ht="12.75" hidden="false" customHeight="false" outlineLevel="0" collapsed="false">
      <c r="A103" s="45" t="n">
        <v>7040</v>
      </c>
      <c r="B103" s="46" t="n">
        <v>1</v>
      </c>
    </row>
    <row r="104" customFormat="false" ht="12.75" hidden="false" customHeight="false" outlineLevel="0" collapsed="false">
      <c r="A104" s="45" t="n">
        <v>7042</v>
      </c>
      <c r="B104" s="46" t="n">
        <v>1</v>
      </c>
    </row>
    <row r="105" customFormat="false" ht="12.75" hidden="false" customHeight="false" outlineLevel="0" collapsed="false">
      <c r="A105" s="45" t="n">
        <v>7043</v>
      </c>
      <c r="B105" s="46" t="n">
        <v>1</v>
      </c>
    </row>
    <row r="106" customFormat="false" ht="12.75" hidden="false" customHeight="false" outlineLevel="0" collapsed="false">
      <c r="A106" s="45" t="n">
        <v>7044</v>
      </c>
      <c r="B106" s="46" t="n">
        <v>1</v>
      </c>
    </row>
    <row r="107" customFormat="false" ht="12.75" hidden="false" customHeight="false" outlineLevel="0" collapsed="false">
      <c r="A107" s="45" t="n">
        <v>7047</v>
      </c>
      <c r="B107" s="46" t="n">
        <v>1</v>
      </c>
    </row>
    <row r="108" customFormat="false" ht="12.75" hidden="false" customHeight="false" outlineLevel="0" collapsed="false">
      <c r="A108" s="45" t="n">
        <v>7048</v>
      </c>
      <c r="B108" s="46" t="n">
        <v>1</v>
      </c>
    </row>
    <row r="109" customFormat="false" ht="12.75" hidden="false" customHeight="false" outlineLevel="0" collapsed="false">
      <c r="A109" s="45" t="n">
        <v>7050</v>
      </c>
      <c r="B109" s="46" t="n">
        <v>1</v>
      </c>
    </row>
    <row r="110" customFormat="false" ht="12.75" hidden="false" customHeight="false" outlineLevel="0" collapsed="false">
      <c r="A110" s="45" t="n">
        <v>7052</v>
      </c>
      <c r="B110" s="46" t="n">
        <v>1</v>
      </c>
    </row>
    <row r="111" customFormat="false" ht="12.75" hidden="false" customHeight="false" outlineLevel="0" collapsed="false">
      <c r="A111" s="45" t="n">
        <v>7053</v>
      </c>
      <c r="B111" s="46" t="n">
        <v>1</v>
      </c>
    </row>
    <row r="112" customFormat="false" ht="12.75" hidden="false" customHeight="false" outlineLevel="0" collapsed="false">
      <c r="A112" s="45" t="n">
        <v>7054</v>
      </c>
      <c r="B112" s="46" t="n">
        <v>1</v>
      </c>
    </row>
    <row r="113" customFormat="false" ht="12.75" hidden="false" customHeight="false" outlineLevel="0" collapsed="false">
      <c r="A113" s="45" t="n">
        <v>7055</v>
      </c>
      <c r="B113" s="46" t="n">
        <v>1</v>
      </c>
    </row>
    <row r="114" customFormat="false" ht="12.75" hidden="false" customHeight="false" outlineLevel="0" collapsed="false">
      <c r="A114" s="45" t="n">
        <v>7056</v>
      </c>
      <c r="B114" s="46" t="n">
        <v>1</v>
      </c>
    </row>
    <row r="115" customFormat="false" ht="12.75" hidden="false" customHeight="false" outlineLevel="0" collapsed="false">
      <c r="A115" s="45" t="n">
        <v>7057</v>
      </c>
      <c r="B115" s="46" t="n">
        <v>1</v>
      </c>
    </row>
    <row r="116" customFormat="false" ht="12.75" hidden="false" customHeight="false" outlineLevel="0" collapsed="false">
      <c r="A116" s="45" t="n">
        <v>7058</v>
      </c>
      <c r="B116" s="46" t="n">
        <v>1</v>
      </c>
    </row>
    <row r="117" customFormat="false" ht="12.75" hidden="false" customHeight="false" outlineLevel="0" collapsed="false">
      <c r="A117" s="45" t="n">
        <v>7061</v>
      </c>
      <c r="B117" s="46" t="n">
        <v>1</v>
      </c>
    </row>
    <row r="118" customFormat="false" ht="12.75" hidden="false" customHeight="false" outlineLevel="0" collapsed="false">
      <c r="A118" s="45" t="n">
        <v>7063</v>
      </c>
      <c r="B118" s="46" t="n">
        <v>1</v>
      </c>
    </row>
    <row r="119" customFormat="false" ht="12.75" hidden="false" customHeight="false" outlineLevel="0" collapsed="false">
      <c r="A119" s="45" t="n">
        <v>7065</v>
      </c>
      <c r="B119" s="46" t="n">
        <v>1</v>
      </c>
    </row>
    <row r="120" customFormat="false" ht="12.75" hidden="false" customHeight="false" outlineLevel="0" collapsed="false">
      <c r="A120" s="45" t="n">
        <v>7067</v>
      </c>
      <c r="B120" s="46" t="n">
        <v>1</v>
      </c>
    </row>
    <row r="121" customFormat="false" ht="12.75" hidden="false" customHeight="false" outlineLevel="0" collapsed="false">
      <c r="A121" s="45" t="n">
        <v>7069</v>
      </c>
      <c r="B121" s="46" t="n">
        <v>1</v>
      </c>
    </row>
    <row r="122" customFormat="false" ht="12.75" hidden="false" customHeight="false" outlineLevel="0" collapsed="false">
      <c r="A122" s="45" t="n">
        <v>7072</v>
      </c>
      <c r="B122" s="46" t="n">
        <v>1</v>
      </c>
    </row>
    <row r="123" customFormat="false" ht="12.75" hidden="false" customHeight="false" outlineLevel="0" collapsed="false">
      <c r="A123" s="45" t="n">
        <v>7073</v>
      </c>
      <c r="B123" s="46" t="n">
        <v>1</v>
      </c>
    </row>
    <row r="124" customFormat="false" ht="12.75" hidden="false" customHeight="false" outlineLevel="0" collapsed="false">
      <c r="A124" s="45" t="n">
        <v>7075</v>
      </c>
      <c r="B124" s="46" t="n">
        <v>1</v>
      </c>
    </row>
    <row r="125" customFormat="false" ht="12.75" hidden="false" customHeight="false" outlineLevel="0" collapsed="false">
      <c r="A125" s="45" t="n">
        <v>7078</v>
      </c>
      <c r="B125" s="46" t="n">
        <v>1</v>
      </c>
    </row>
    <row r="126" customFormat="false" ht="12.75" hidden="false" customHeight="false" outlineLevel="0" collapsed="false">
      <c r="A126" s="45" t="n">
        <v>7080</v>
      </c>
      <c r="B126" s="46" t="n">
        <v>1</v>
      </c>
    </row>
    <row r="127" customFormat="false" ht="12.75" hidden="false" customHeight="false" outlineLevel="0" collapsed="false">
      <c r="A127" s="45" t="n">
        <v>7081</v>
      </c>
      <c r="B127" s="46" t="n">
        <v>1</v>
      </c>
    </row>
    <row r="128" customFormat="false" ht="12.75" hidden="false" customHeight="false" outlineLevel="0" collapsed="false">
      <c r="A128" s="45" t="n">
        <v>7082</v>
      </c>
      <c r="B128" s="46" t="n">
        <v>1</v>
      </c>
    </row>
    <row r="129" customFormat="false" ht="12.75" hidden="false" customHeight="false" outlineLevel="0" collapsed="false">
      <c r="A129" s="45" t="n">
        <v>7086</v>
      </c>
      <c r="B129" s="46" t="n">
        <v>1</v>
      </c>
    </row>
    <row r="130" customFormat="false" ht="12.75" hidden="false" customHeight="false" outlineLevel="0" collapsed="false">
      <c r="A130" s="45" t="n">
        <v>7087</v>
      </c>
      <c r="B130" s="46" t="n">
        <v>1</v>
      </c>
    </row>
    <row r="131" customFormat="false" ht="12.75" hidden="false" customHeight="false" outlineLevel="0" collapsed="false">
      <c r="A131" s="45" t="n">
        <v>7088</v>
      </c>
      <c r="B131" s="46" t="n">
        <v>1</v>
      </c>
    </row>
    <row r="132" customFormat="false" ht="12.75" hidden="false" customHeight="false" outlineLevel="0" collapsed="false">
      <c r="A132" s="45" t="n">
        <v>7090</v>
      </c>
      <c r="B132" s="46" t="n">
        <v>1</v>
      </c>
    </row>
    <row r="133" customFormat="false" ht="12.75" hidden="false" customHeight="false" outlineLevel="0" collapsed="false">
      <c r="A133" s="45" t="n">
        <v>7091</v>
      </c>
      <c r="B133" s="46" t="n">
        <v>1</v>
      </c>
    </row>
    <row r="134" customFormat="false" ht="12.75" hidden="false" customHeight="false" outlineLevel="0" collapsed="false">
      <c r="A134" s="45" t="n">
        <v>7092</v>
      </c>
      <c r="B134" s="46" t="n">
        <v>1</v>
      </c>
    </row>
    <row r="135" customFormat="false" ht="12.75" hidden="false" customHeight="false" outlineLevel="0" collapsed="false">
      <c r="A135" s="45" t="n">
        <v>7095</v>
      </c>
      <c r="B135" s="46" t="n">
        <v>1</v>
      </c>
    </row>
    <row r="136" customFormat="false" ht="12.75" hidden="false" customHeight="false" outlineLevel="0" collapsed="false">
      <c r="A136" s="45" t="n">
        <v>7096</v>
      </c>
      <c r="B136" s="46" t="n">
        <v>1</v>
      </c>
    </row>
    <row r="137" customFormat="false" ht="12.75" hidden="false" customHeight="false" outlineLevel="0" collapsed="false">
      <c r="A137" s="45" t="n">
        <v>7098</v>
      </c>
      <c r="B137" s="46" t="n">
        <v>1</v>
      </c>
    </row>
    <row r="138" customFormat="false" ht="12.75" hidden="false" customHeight="false" outlineLevel="0" collapsed="false">
      <c r="A138" s="45" t="n">
        <v>7099</v>
      </c>
      <c r="B138" s="46" t="n">
        <v>1</v>
      </c>
    </row>
    <row r="139" customFormat="false" ht="12.75" hidden="false" customHeight="false" outlineLevel="0" collapsed="false">
      <c r="A139" s="45" t="n">
        <v>7101</v>
      </c>
      <c r="B139" s="46" t="n">
        <v>1</v>
      </c>
    </row>
    <row r="140" customFormat="false" ht="12.75" hidden="false" customHeight="false" outlineLevel="0" collapsed="false">
      <c r="A140" s="45" t="n">
        <v>7105</v>
      </c>
      <c r="B140" s="46" t="n">
        <v>1</v>
      </c>
    </row>
    <row r="141" customFormat="false" ht="12.75" hidden="false" customHeight="false" outlineLevel="0" collapsed="false">
      <c r="A141" s="45" t="n">
        <v>7111</v>
      </c>
      <c r="B141" s="46" t="n">
        <v>1</v>
      </c>
    </row>
    <row r="142" customFormat="false" ht="12.75" hidden="false" customHeight="false" outlineLevel="0" collapsed="false">
      <c r="A142" s="45" t="n">
        <v>7114</v>
      </c>
      <c r="B142" s="46" t="n">
        <v>1</v>
      </c>
    </row>
    <row r="143" customFormat="false" ht="12.75" hidden="false" customHeight="false" outlineLevel="0" collapsed="false">
      <c r="A143" s="45" t="n">
        <v>70104</v>
      </c>
      <c r="B143" s="46" t="n">
        <v>1</v>
      </c>
    </row>
    <row r="144" customFormat="false" ht="12.75" hidden="false" customHeight="false" outlineLevel="0" collapsed="false">
      <c r="A144" s="45" t="s">
        <v>292</v>
      </c>
      <c r="B144" s="46" t="n">
        <v>1</v>
      </c>
    </row>
    <row r="145" customFormat="false" ht="12.75" hidden="false" customHeight="false" outlineLevel="0" collapsed="false">
      <c r="A145" s="45" t="s">
        <v>274</v>
      </c>
      <c r="B145" s="46" t="n">
        <v>1</v>
      </c>
    </row>
    <row r="146" customFormat="false" ht="12.75" hidden="false" customHeight="false" outlineLevel="0" collapsed="false">
      <c r="A146" s="45" t="s">
        <v>300</v>
      </c>
      <c r="B146" s="46" t="n">
        <v>1</v>
      </c>
    </row>
    <row r="147" customFormat="false" ht="12.75" hidden="false" customHeight="false" outlineLevel="0" collapsed="false">
      <c r="A147" s="45" t="s">
        <v>363</v>
      </c>
      <c r="B147" s="46" t="n">
        <v>1</v>
      </c>
    </row>
    <row r="148" customFormat="false" ht="12.75" hidden="false" customHeight="false" outlineLevel="0" collapsed="false">
      <c r="A148" s="45" t="s">
        <v>242</v>
      </c>
      <c r="B148" s="46" t="n">
        <v>1</v>
      </c>
    </row>
    <row r="149" customFormat="false" ht="12.75" hidden="false" customHeight="false" outlineLevel="0" collapsed="false">
      <c r="A149" s="45" t="s">
        <v>402</v>
      </c>
      <c r="B149" s="46" t="n">
        <v>1</v>
      </c>
    </row>
    <row r="150" customFormat="false" ht="12.75" hidden="false" customHeight="false" outlineLevel="0" collapsed="false">
      <c r="A150" s="45" t="s">
        <v>465</v>
      </c>
      <c r="B150" s="46" t="n">
        <v>1</v>
      </c>
    </row>
    <row r="151" customFormat="false" ht="12.75" hidden="false" customHeight="false" outlineLevel="0" collapsed="false">
      <c r="A151" s="45" t="s">
        <v>445</v>
      </c>
      <c r="B151" s="46" t="n">
        <v>1</v>
      </c>
    </row>
    <row r="152" customFormat="false" ht="12.75" hidden="false" customHeight="false" outlineLevel="0" collapsed="false">
      <c r="A152" s="45" t="s">
        <v>514</v>
      </c>
      <c r="B152" s="46" t="n">
        <v>1</v>
      </c>
    </row>
    <row r="153" customFormat="false" ht="12.75" hidden="false" customHeight="false" outlineLevel="0" collapsed="false">
      <c r="A153" s="45" t="s">
        <v>318</v>
      </c>
      <c r="B153" s="46" t="n">
        <v>1</v>
      </c>
    </row>
    <row r="154" customFormat="false" ht="12.75" hidden="false" customHeight="false" outlineLevel="0" collapsed="false">
      <c r="A154" s="45" t="s">
        <v>370</v>
      </c>
      <c r="B154" s="46" t="n">
        <v>1</v>
      </c>
    </row>
    <row r="155" customFormat="false" ht="12.75" hidden="false" customHeight="false" outlineLevel="0" collapsed="false">
      <c r="A155" s="45" t="s">
        <v>368</v>
      </c>
      <c r="B155" s="46" t="n">
        <v>1</v>
      </c>
    </row>
    <row r="156" customFormat="false" ht="12.75" hidden="false" customHeight="false" outlineLevel="0" collapsed="false">
      <c r="A156" s="45" t="s">
        <v>497</v>
      </c>
      <c r="B156" s="46" t="n">
        <v>1</v>
      </c>
    </row>
    <row r="157" customFormat="false" ht="12.75" hidden="false" customHeight="false" outlineLevel="0" collapsed="false">
      <c r="A157" s="45" t="s">
        <v>411</v>
      </c>
      <c r="B157" s="46" t="n">
        <v>1</v>
      </c>
    </row>
    <row r="158" customFormat="false" ht="12.75" hidden="false" customHeight="false" outlineLevel="0" collapsed="false">
      <c r="A158" s="45" t="s">
        <v>420</v>
      </c>
      <c r="B158" s="46" t="n">
        <v>1</v>
      </c>
    </row>
    <row r="159" customFormat="false" ht="12.75" hidden="false" customHeight="false" outlineLevel="0" collapsed="false">
      <c r="A159" s="45" t="s">
        <v>457</v>
      </c>
      <c r="B159" s="46" t="n">
        <v>1</v>
      </c>
    </row>
    <row r="160" customFormat="false" ht="12.75" hidden="false" customHeight="false" outlineLevel="0" collapsed="false">
      <c r="A160" s="45" t="s">
        <v>524</v>
      </c>
      <c r="B160" s="46" t="n">
        <v>1</v>
      </c>
    </row>
    <row r="161" customFormat="false" ht="12.75" hidden="false" customHeight="false" outlineLevel="0" collapsed="false">
      <c r="A161" s="45" t="s">
        <v>377</v>
      </c>
      <c r="B161" s="46" t="n">
        <v>1</v>
      </c>
    </row>
    <row r="162" customFormat="false" ht="12.75" hidden="false" customHeight="false" outlineLevel="0" collapsed="false">
      <c r="A162" s="45" t="s">
        <v>549</v>
      </c>
      <c r="B162" s="46" t="n">
        <v>1</v>
      </c>
    </row>
    <row r="163" customFormat="false" ht="12.75" hidden="false" customHeight="false" outlineLevel="0" collapsed="false">
      <c r="A163" s="45" t="s">
        <v>253</v>
      </c>
      <c r="B163" s="46" t="n">
        <v>1</v>
      </c>
    </row>
    <row r="164" customFormat="false" ht="12.75" hidden="false" customHeight="false" outlineLevel="0" collapsed="false">
      <c r="A164" s="45" t="s">
        <v>263</v>
      </c>
      <c r="B164" s="46" t="n">
        <v>1</v>
      </c>
    </row>
    <row r="165" customFormat="false" ht="12.75" hidden="false" customHeight="false" outlineLevel="0" collapsed="false">
      <c r="A165" s="45" t="s">
        <v>286</v>
      </c>
      <c r="B165" s="46" t="n">
        <v>1</v>
      </c>
    </row>
    <row r="166" customFormat="false" ht="12.75" hidden="false" customHeight="false" outlineLevel="0" collapsed="false">
      <c r="A166" s="45" t="s">
        <v>280</v>
      </c>
      <c r="B166" s="46" t="n">
        <v>1</v>
      </c>
    </row>
    <row r="167" customFormat="false" ht="12.75" hidden="false" customHeight="false" outlineLevel="0" collapsed="false">
      <c r="A167" s="45" t="s">
        <v>709</v>
      </c>
      <c r="B167" s="46" t="n">
        <v>201</v>
      </c>
    </row>
    <row r="168" customFormat="false" ht="12.75" hidden="false" customHeight="false" outlineLevel="0" collapsed="false">
      <c r="A168" s="45" t="n">
        <v>4107</v>
      </c>
      <c r="B168" s="46" t="n">
        <v>1</v>
      </c>
    </row>
    <row r="169" customFormat="false" ht="12.75" hidden="false" customHeight="false" outlineLevel="0" collapsed="false">
      <c r="A169" s="45" t="n">
        <v>40094</v>
      </c>
      <c r="B169" s="46" t="n">
        <v>1</v>
      </c>
    </row>
    <row r="170" customFormat="false" ht="12.75" hidden="false" customHeight="false" outlineLevel="0" collapsed="false">
      <c r="A170" s="45" t="n">
        <v>40122</v>
      </c>
      <c r="B170" s="46" t="n">
        <v>1</v>
      </c>
    </row>
    <row r="171" customFormat="false" ht="12.75" hidden="false" customHeight="false" outlineLevel="0" collapsed="false">
      <c r="A171" s="45" t="n">
        <v>40128</v>
      </c>
      <c r="B171" s="46" t="n">
        <v>1</v>
      </c>
    </row>
    <row r="172" customFormat="false" ht="12.75" hidden="false" customHeight="false" outlineLevel="0" collapsed="false">
      <c r="A172" s="45" t="n">
        <v>70119</v>
      </c>
      <c r="B172" s="46" t="n">
        <v>1</v>
      </c>
    </row>
    <row r="173" customFormat="false" ht="12.75" hidden="false" customHeight="false" outlineLevel="0" collapsed="false">
      <c r="A173" s="45" t="s">
        <v>270</v>
      </c>
      <c r="B173" s="46" t="n">
        <v>1</v>
      </c>
    </row>
    <row r="174" customFormat="false" ht="12.75" hidden="false" customHeight="false" outlineLevel="0" collapsed="false">
      <c r="A174" s="45" t="s">
        <v>425</v>
      </c>
      <c r="B174" s="46" t="n">
        <v>1</v>
      </c>
    </row>
    <row r="175" customFormat="false" ht="12.75" hidden="false" customHeight="false" outlineLevel="0" collapsed="false">
      <c r="A175" s="45" t="n">
        <v>70085</v>
      </c>
      <c r="B175" s="46" t="n">
        <v>1</v>
      </c>
    </row>
    <row r="176" customFormat="false" ht="12.75" hidden="false" customHeight="false" outlineLevel="0" collapsed="false">
      <c r="A176" s="45" t="n">
        <v>70109</v>
      </c>
      <c r="B176" s="46" t="n">
        <v>1</v>
      </c>
    </row>
    <row r="177" customFormat="false" ht="12.75" hidden="false" customHeight="false" outlineLevel="0" collapsed="false">
      <c r="A177" s="45" t="n">
        <v>70134</v>
      </c>
      <c r="B177" s="46" t="n">
        <v>1</v>
      </c>
    </row>
    <row r="178" customFormat="false" ht="12.75" hidden="false" customHeight="false" outlineLevel="0" collapsed="false">
      <c r="A178" s="45" t="n">
        <v>72053</v>
      </c>
      <c r="B178" s="47" t="n">
        <v>1</v>
      </c>
    </row>
    <row r="179" customFormat="false" ht="12.75" hidden="false" customHeight="false" outlineLevel="0" collapsed="false">
      <c r="A179" s="48" t="s">
        <v>710</v>
      </c>
      <c r="B179" s="49" t="n">
        <v>375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76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32" activeCellId="0" sqref="A32"/>
    </sheetView>
  </sheetViews>
  <sheetFormatPr defaultColWidth="8.71484375" defaultRowHeight="12.75" customHeight="false" zeroHeight="false" outlineLevelRow="0" outlineLevelCol="0"/>
  <cols>
    <col collapsed="false" customWidth="true" hidden="false" outlineLevel="0" max="1" min="1" style="36" width="89.71"/>
    <col collapsed="false" customWidth="true" hidden="false" outlineLevel="0" max="2" min="2" style="36" width="28.14"/>
    <col collapsed="false" customWidth="true" hidden="false" outlineLevel="0" max="3" min="3" style="36" width="12.29"/>
    <col collapsed="false" customWidth="true" hidden="false" outlineLevel="0" max="4" min="4" style="36" width="11.29"/>
    <col collapsed="false" customWidth="true" hidden="false" outlineLevel="0" max="13" min="5" style="36" width="12.29"/>
    <col collapsed="false" customWidth="true" hidden="false" outlineLevel="0" max="14" min="14" style="36" width="11.29"/>
    <col collapsed="false" customWidth="true" hidden="false" outlineLevel="0" max="17" min="15" style="36" width="12.29"/>
    <col collapsed="false" customWidth="true" hidden="false" outlineLevel="0" max="18" min="18" style="36" width="14.71"/>
    <col collapsed="false" customWidth="true" hidden="false" outlineLevel="0" max="20" min="19" style="36" width="13.15"/>
    <col collapsed="false" customWidth="true" hidden="false" outlineLevel="0" max="21" min="21" style="36" width="7.16"/>
    <col collapsed="false" customWidth="true" hidden="false" outlineLevel="0" max="22" min="22" style="36" width="11.71"/>
  </cols>
  <sheetData>
    <row r="3" customFormat="false" ht="12.75" hidden="false" customHeight="false" outlineLevel="0" collapsed="false">
      <c r="A3" s="41" t="s">
        <v>711</v>
      </c>
      <c r="B3" s="42" t="s">
        <v>709</v>
      </c>
    </row>
    <row r="4" customFormat="false" ht="12.75" hidden="false" customHeight="false" outlineLevel="0" collapsed="false">
      <c r="A4" s="50" t="s">
        <v>101</v>
      </c>
      <c r="B4" s="44"/>
    </row>
    <row r="5" customFormat="false" ht="23.85" hidden="false" customHeight="false" outlineLevel="0" collapsed="false">
      <c r="A5" s="51" t="s">
        <v>103</v>
      </c>
      <c r="B5" s="47"/>
    </row>
    <row r="6" customFormat="false" ht="12.75" hidden="false" customHeight="false" outlineLevel="0" collapsed="false">
      <c r="A6" s="50" t="s">
        <v>203</v>
      </c>
      <c r="B6" s="44"/>
    </row>
    <row r="7" customFormat="false" ht="23.85" hidden="false" customHeight="false" outlineLevel="0" collapsed="false">
      <c r="A7" s="51" t="s">
        <v>12</v>
      </c>
      <c r="B7" s="47"/>
    </row>
    <row r="8" customFormat="false" ht="12.75" hidden="false" customHeight="false" outlineLevel="0" collapsed="false">
      <c r="A8" s="50" t="s">
        <v>132</v>
      </c>
      <c r="B8" s="44"/>
    </row>
    <row r="9" customFormat="false" ht="23.85" hidden="false" customHeight="false" outlineLevel="0" collapsed="false">
      <c r="A9" s="51" t="s">
        <v>12</v>
      </c>
      <c r="B9" s="47"/>
    </row>
    <row r="10" customFormat="false" ht="12.75" hidden="false" customHeight="false" outlineLevel="0" collapsed="false">
      <c r="A10" s="50" t="s">
        <v>10</v>
      </c>
      <c r="B10" s="44"/>
    </row>
    <row r="11" customFormat="false" ht="23.85" hidden="false" customHeight="false" outlineLevel="0" collapsed="false">
      <c r="A11" s="51" t="s">
        <v>12</v>
      </c>
      <c r="B11" s="47"/>
    </row>
    <row r="12" customFormat="false" ht="12.75" hidden="false" customHeight="false" outlineLevel="0" collapsed="false">
      <c r="A12" s="50" t="s">
        <v>360</v>
      </c>
      <c r="B12" s="44"/>
    </row>
    <row r="13" customFormat="false" ht="23.85" hidden="false" customHeight="false" outlineLevel="0" collapsed="false">
      <c r="A13" s="51" t="s">
        <v>12</v>
      </c>
      <c r="B13" s="47"/>
    </row>
    <row r="14" customFormat="false" ht="12.75" hidden="false" customHeight="false" outlineLevel="0" collapsed="false">
      <c r="A14" s="50" t="s">
        <v>399</v>
      </c>
      <c r="B14" s="44"/>
    </row>
    <row r="15" customFormat="false" ht="23.85" hidden="false" customHeight="false" outlineLevel="0" collapsed="false">
      <c r="A15" s="51" t="s">
        <v>12</v>
      </c>
      <c r="B15" s="47"/>
    </row>
    <row r="16" customFormat="false" ht="12.75" hidden="false" customHeight="false" outlineLevel="0" collapsed="false">
      <c r="A16" s="50" t="s">
        <v>440</v>
      </c>
      <c r="B16" s="44"/>
    </row>
    <row r="17" customFormat="false" ht="23.85" hidden="false" customHeight="false" outlineLevel="0" collapsed="false">
      <c r="A17" s="51" t="s">
        <v>442</v>
      </c>
      <c r="B17" s="47"/>
    </row>
    <row r="18" customFormat="false" ht="12.75" hidden="false" customHeight="false" outlineLevel="0" collapsed="false">
      <c r="A18" s="50" t="s">
        <v>511</v>
      </c>
      <c r="B18" s="44"/>
    </row>
    <row r="19" customFormat="false" ht="23.85" hidden="false" customHeight="false" outlineLevel="0" collapsed="false">
      <c r="A19" s="51" t="s">
        <v>442</v>
      </c>
      <c r="B19" s="47"/>
    </row>
    <row r="20" customFormat="false" ht="12.75" hidden="false" customHeight="false" outlineLevel="0" collapsed="false">
      <c r="A20" s="50" t="s">
        <v>163</v>
      </c>
      <c r="B20" s="44"/>
    </row>
    <row r="21" customFormat="false" ht="23.85" hidden="false" customHeight="false" outlineLevel="0" collapsed="false">
      <c r="A21" s="51" t="s">
        <v>12</v>
      </c>
      <c r="B21" s="47"/>
    </row>
    <row r="22" customFormat="false" ht="12.75" hidden="false" customHeight="false" outlineLevel="0" collapsed="false">
      <c r="A22" s="50" t="s">
        <v>167</v>
      </c>
      <c r="B22" s="44"/>
    </row>
    <row r="23" customFormat="false" ht="23.85" hidden="false" customHeight="false" outlineLevel="0" collapsed="false">
      <c r="A23" s="51" t="s">
        <v>12</v>
      </c>
      <c r="B23" s="47"/>
    </row>
    <row r="24" customFormat="false" ht="12.75" hidden="false" customHeight="false" outlineLevel="0" collapsed="false">
      <c r="A24" s="50" t="s">
        <v>171</v>
      </c>
      <c r="B24" s="44"/>
    </row>
    <row r="25" customFormat="false" ht="23.85" hidden="false" customHeight="false" outlineLevel="0" collapsed="false">
      <c r="A25" s="51" t="s">
        <v>12</v>
      </c>
      <c r="B25" s="47"/>
    </row>
    <row r="26" customFormat="false" ht="12.75" hidden="false" customHeight="false" outlineLevel="0" collapsed="false">
      <c r="A26" s="50" t="s">
        <v>175</v>
      </c>
      <c r="B26" s="44"/>
    </row>
    <row r="27" customFormat="false" ht="23.85" hidden="false" customHeight="false" outlineLevel="0" collapsed="false">
      <c r="A27" s="51" t="s">
        <v>12</v>
      </c>
      <c r="B27" s="47"/>
    </row>
    <row r="28" customFormat="false" ht="12.75" hidden="false" customHeight="false" outlineLevel="0" collapsed="false">
      <c r="A28" s="50" t="s">
        <v>179</v>
      </c>
      <c r="B28" s="44"/>
    </row>
    <row r="29" customFormat="false" ht="23.85" hidden="false" customHeight="false" outlineLevel="0" collapsed="false">
      <c r="A29" s="51" t="s">
        <v>12</v>
      </c>
      <c r="B29" s="47"/>
    </row>
    <row r="30" customFormat="false" ht="12.75" hidden="false" customHeight="false" outlineLevel="0" collapsed="false">
      <c r="A30" s="50" t="s">
        <v>183</v>
      </c>
      <c r="B30" s="44"/>
    </row>
    <row r="31" customFormat="false" ht="23.85" hidden="false" customHeight="false" outlineLevel="0" collapsed="false">
      <c r="A31" s="51" t="s">
        <v>12</v>
      </c>
      <c r="B31" s="47"/>
    </row>
    <row r="32" customFormat="false" ht="12.75" hidden="false" customHeight="false" outlineLevel="0" collapsed="false">
      <c r="A32" s="50" t="s">
        <v>187</v>
      </c>
      <c r="B32" s="44"/>
    </row>
    <row r="33" customFormat="false" ht="23.85" hidden="false" customHeight="false" outlineLevel="0" collapsed="false">
      <c r="A33" s="51" t="s">
        <v>12</v>
      </c>
      <c r="B33" s="47"/>
    </row>
    <row r="34" customFormat="false" ht="12.75" hidden="false" customHeight="false" outlineLevel="0" collapsed="false">
      <c r="A34" s="50" t="s">
        <v>191</v>
      </c>
      <c r="B34" s="44"/>
    </row>
    <row r="35" customFormat="false" ht="23.85" hidden="false" customHeight="false" outlineLevel="0" collapsed="false">
      <c r="A35" s="51" t="s">
        <v>12</v>
      </c>
      <c r="B35" s="47"/>
    </row>
    <row r="36" customFormat="false" ht="12.75" hidden="false" customHeight="false" outlineLevel="0" collapsed="false">
      <c r="A36" s="50" t="s">
        <v>195</v>
      </c>
      <c r="B36" s="44"/>
    </row>
    <row r="37" customFormat="false" ht="23.85" hidden="false" customHeight="false" outlineLevel="0" collapsed="false">
      <c r="A37" s="51" t="s">
        <v>12</v>
      </c>
      <c r="B37" s="47"/>
    </row>
    <row r="38" customFormat="false" ht="12.75" hidden="false" customHeight="false" outlineLevel="0" collapsed="false">
      <c r="A38" s="50" t="s">
        <v>199</v>
      </c>
      <c r="B38" s="44"/>
    </row>
    <row r="39" customFormat="false" ht="23.85" hidden="false" customHeight="false" outlineLevel="0" collapsed="false">
      <c r="A39" s="51" t="s">
        <v>12</v>
      </c>
      <c r="B39" s="47"/>
    </row>
    <row r="40" customFormat="false" ht="12.75" hidden="false" customHeight="false" outlineLevel="0" collapsed="false">
      <c r="A40" s="50" t="s">
        <v>217</v>
      </c>
      <c r="B40" s="44"/>
    </row>
    <row r="41" customFormat="false" ht="23.85" hidden="false" customHeight="false" outlineLevel="0" collapsed="false">
      <c r="A41" s="51" t="s">
        <v>12</v>
      </c>
      <c r="B41" s="47"/>
    </row>
    <row r="42" customFormat="false" ht="12.75" hidden="false" customHeight="false" outlineLevel="0" collapsed="false">
      <c r="A42" s="50" t="s">
        <v>221</v>
      </c>
      <c r="B42" s="44"/>
    </row>
    <row r="43" customFormat="false" ht="23.85" hidden="false" customHeight="false" outlineLevel="0" collapsed="false">
      <c r="A43" s="51" t="s">
        <v>222</v>
      </c>
      <c r="B43" s="47"/>
    </row>
    <row r="44" customFormat="false" ht="12.75" hidden="false" customHeight="false" outlineLevel="0" collapsed="false">
      <c r="A44" s="50" t="s">
        <v>226</v>
      </c>
      <c r="B44" s="44"/>
    </row>
    <row r="45" customFormat="false" ht="23.85" hidden="false" customHeight="false" outlineLevel="0" collapsed="false">
      <c r="A45" s="51" t="s">
        <v>228</v>
      </c>
      <c r="B45" s="47"/>
    </row>
    <row r="46" customFormat="false" ht="12.75" hidden="false" customHeight="false" outlineLevel="0" collapsed="false">
      <c r="A46" s="50" t="s">
        <v>231</v>
      </c>
      <c r="B46" s="44"/>
    </row>
    <row r="47" customFormat="false" ht="23.85" hidden="false" customHeight="false" outlineLevel="0" collapsed="false">
      <c r="A47" s="51" t="s">
        <v>12</v>
      </c>
      <c r="B47" s="47"/>
    </row>
    <row r="48" customFormat="false" ht="12.75" hidden="false" customHeight="false" outlineLevel="0" collapsed="false">
      <c r="A48" s="50" t="s">
        <v>235</v>
      </c>
      <c r="B48" s="44"/>
    </row>
    <row r="49" customFormat="false" ht="23.85" hidden="false" customHeight="false" outlineLevel="0" collapsed="false">
      <c r="A49" s="51" t="s">
        <v>12</v>
      </c>
      <c r="B49" s="47"/>
    </row>
    <row r="50" customFormat="false" ht="12.75" hidden="false" customHeight="false" outlineLevel="0" collapsed="false">
      <c r="A50" s="50" t="s">
        <v>239</v>
      </c>
      <c r="B50" s="44"/>
    </row>
    <row r="51" customFormat="false" ht="23.85" hidden="false" customHeight="false" outlineLevel="0" collapsed="false">
      <c r="A51" s="51" t="s">
        <v>12</v>
      </c>
      <c r="B51" s="47"/>
    </row>
    <row r="52" customFormat="false" ht="12.75" hidden="false" customHeight="false" outlineLevel="0" collapsed="false">
      <c r="A52" s="50" t="s">
        <v>245</v>
      </c>
      <c r="B52" s="44"/>
    </row>
    <row r="53" customFormat="false" ht="23.85" hidden="false" customHeight="false" outlineLevel="0" collapsed="false">
      <c r="A53" s="51" t="s">
        <v>12</v>
      </c>
      <c r="B53" s="47"/>
    </row>
    <row r="54" customFormat="false" ht="12.75" hidden="false" customHeight="false" outlineLevel="0" collapsed="false">
      <c r="A54" s="50" t="s">
        <v>249</v>
      </c>
      <c r="B54" s="44"/>
    </row>
    <row r="55" customFormat="false" ht="23.85" hidden="false" customHeight="false" outlineLevel="0" collapsed="false">
      <c r="A55" s="51" t="s">
        <v>12</v>
      </c>
      <c r="B55" s="47"/>
    </row>
    <row r="56" customFormat="false" ht="12.75" hidden="false" customHeight="false" outlineLevel="0" collapsed="false">
      <c r="A56" s="50" t="s">
        <v>256</v>
      </c>
      <c r="B56" s="44"/>
    </row>
    <row r="57" customFormat="false" ht="23.85" hidden="false" customHeight="false" outlineLevel="0" collapsed="false">
      <c r="A57" s="51" t="s">
        <v>12</v>
      </c>
      <c r="B57" s="47"/>
    </row>
    <row r="58" customFormat="false" ht="12.75" hidden="false" customHeight="false" outlineLevel="0" collapsed="false">
      <c r="A58" s="50" t="s">
        <v>260</v>
      </c>
      <c r="B58" s="44"/>
    </row>
    <row r="59" customFormat="false" ht="23.85" hidden="false" customHeight="false" outlineLevel="0" collapsed="false">
      <c r="A59" s="51" t="s">
        <v>12</v>
      </c>
      <c r="B59" s="47"/>
    </row>
    <row r="60" customFormat="false" ht="12.75" hidden="false" customHeight="false" outlineLevel="0" collapsed="false">
      <c r="A60" s="50" t="s">
        <v>266</v>
      </c>
      <c r="B60" s="44"/>
    </row>
    <row r="61" customFormat="false" ht="23.85" hidden="false" customHeight="false" outlineLevel="0" collapsed="false">
      <c r="A61" s="51" t="s">
        <v>12</v>
      </c>
      <c r="B61" s="47"/>
    </row>
    <row r="62" customFormat="false" ht="12.75" hidden="false" customHeight="false" outlineLevel="0" collapsed="false">
      <c r="A62" s="50" t="s">
        <v>277</v>
      </c>
      <c r="B62" s="44"/>
    </row>
    <row r="63" customFormat="false" ht="23.85" hidden="false" customHeight="false" outlineLevel="0" collapsed="false">
      <c r="A63" s="51" t="s">
        <v>12</v>
      </c>
      <c r="B63" s="47"/>
    </row>
    <row r="64" customFormat="false" ht="12.75" hidden="false" customHeight="false" outlineLevel="0" collapsed="false">
      <c r="A64" s="50" t="s">
        <v>283</v>
      </c>
      <c r="B64" s="44"/>
    </row>
    <row r="65" customFormat="false" ht="23.85" hidden="false" customHeight="false" outlineLevel="0" collapsed="false">
      <c r="A65" s="51" t="s">
        <v>12</v>
      </c>
      <c r="B65" s="47"/>
    </row>
    <row r="66" customFormat="false" ht="12.75" hidden="false" customHeight="false" outlineLevel="0" collapsed="false">
      <c r="A66" s="50" t="s">
        <v>289</v>
      </c>
      <c r="B66" s="44"/>
    </row>
    <row r="67" customFormat="false" ht="23.85" hidden="false" customHeight="false" outlineLevel="0" collapsed="false">
      <c r="A67" s="51" t="s">
        <v>12</v>
      </c>
      <c r="B67" s="47"/>
    </row>
    <row r="68" customFormat="false" ht="12.75" hidden="false" customHeight="false" outlineLevel="0" collapsed="false">
      <c r="A68" s="50" t="s">
        <v>297</v>
      </c>
      <c r="B68" s="44"/>
    </row>
    <row r="69" customFormat="false" ht="23.85" hidden="false" customHeight="false" outlineLevel="0" collapsed="false">
      <c r="A69" s="51" t="s">
        <v>12</v>
      </c>
      <c r="B69" s="47"/>
    </row>
    <row r="70" customFormat="false" ht="12.75" hidden="false" customHeight="false" outlineLevel="0" collapsed="false">
      <c r="A70" s="50" t="s">
        <v>462</v>
      </c>
      <c r="B70" s="44"/>
    </row>
    <row r="71" customFormat="false" ht="23.85" hidden="false" customHeight="false" outlineLevel="0" collapsed="false">
      <c r="A71" s="51" t="s">
        <v>442</v>
      </c>
      <c r="B71" s="47"/>
    </row>
    <row r="72" customFormat="false" ht="12.75" hidden="false" customHeight="false" outlineLevel="0" collapsed="false">
      <c r="A72" s="50" t="s">
        <v>470</v>
      </c>
      <c r="B72" s="44"/>
    </row>
    <row r="73" customFormat="false" ht="23.85" hidden="false" customHeight="false" outlineLevel="0" collapsed="false">
      <c r="A73" s="51" t="s">
        <v>471</v>
      </c>
      <c r="B73" s="47"/>
    </row>
    <row r="74" customFormat="false" ht="12.75" hidden="false" customHeight="false" outlineLevel="0" collapsed="false">
      <c r="A74" s="50" t="s">
        <v>374</v>
      </c>
      <c r="B74" s="44"/>
    </row>
    <row r="75" customFormat="false" ht="23.85" hidden="false" customHeight="false" outlineLevel="0" collapsed="false">
      <c r="A75" s="51" t="s">
        <v>375</v>
      </c>
      <c r="B75" s="47"/>
    </row>
    <row r="76" customFormat="false" ht="12.75" hidden="false" customHeight="false" outlineLevel="0" collapsed="false">
      <c r="A76" s="52" t="s">
        <v>710</v>
      </c>
      <c r="B76" s="4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3" activeCellId="0" sqref="A33"/>
    </sheetView>
  </sheetViews>
  <sheetFormatPr defaultColWidth="8.71484375" defaultRowHeight="12.75" customHeight="false" zeroHeight="false" outlineLevelRow="0" outlineLevelCol="0"/>
  <cols>
    <col collapsed="false" customWidth="true" hidden="false" outlineLevel="0" max="1" min="1" style="36" width="42.29"/>
    <col collapsed="false" customWidth="true" hidden="false" outlineLevel="0" max="2" min="2" style="36" width="28.14"/>
    <col collapsed="false" customWidth="true" hidden="false" outlineLevel="0" max="3" min="3" style="36" width="12.29"/>
    <col collapsed="false" customWidth="true" hidden="false" outlineLevel="0" max="4" min="4" style="36" width="11.29"/>
    <col collapsed="false" customWidth="true" hidden="false" outlineLevel="0" max="13" min="5" style="36" width="12.29"/>
    <col collapsed="false" customWidth="true" hidden="false" outlineLevel="0" max="14" min="14" style="36" width="11.29"/>
    <col collapsed="false" customWidth="true" hidden="false" outlineLevel="0" max="17" min="15" style="36" width="12.29"/>
    <col collapsed="false" customWidth="true" hidden="false" outlineLevel="0" max="18" min="18" style="36" width="14.71"/>
    <col collapsed="false" customWidth="true" hidden="false" outlineLevel="0" max="20" min="19" style="36" width="13.15"/>
    <col collapsed="false" customWidth="true" hidden="false" outlineLevel="0" max="21" min="21" style="36" width="7.16"/>
    <col collapsed="false" customWidth="true" hidden="false" outlineLevel="0" max="22" min="22" style="36" width="11.71"/>
  </cols>
  <sheetData>
    <row r="3" customFormat="false" ht="12.75" hidden="false" customHeight="false" outlineLevel="0" collapsed="false">
      <c r="A3" s="41" t="s">
        <v>711</v>
      </c>
      <c r="B3" s="42" t="s">
        <v>709</v>
      </c>
    </row>
    <row r="4" customFormat="false" ht="12.75" hidden="false" customHeight="false" outlineLevel="0" collapsed="false">
      <c r="A4" s="50" t="s">
        <v>205</v>
      </c>
      <c r="B4" s="44"/>
    </row>
    <row r="5" customFormat="false" ht="12.75" hidden="false" customHeight="false" outlineLevel="0" collapsed="false">
      <c r="A5" s="51" t="s">
        <v>203</v>
      </c>
      <c r="B5" s="47"/>
    </row>
    <row r="6" customFormat="false" ht="12.75" hidden="false" customHeight="false" outlineLevel="0" collapsed="false">
      <c r="A6" s="50" t="s">
        <v>105</v>
      </c>
      <c r="B6" s="44"/>
    </row>
    <row r="7" customFormat="false" ht="12.75" hidden="false" customHeight="false" outlineLevel="0" collapsed="false">
      <c r="A7" s="51" t="s">
        <v>101</v>
      </c>
      <c r="B7" s="47"/>
    </row>
    <row r="8" customFormat="false" ht="12.75" hidden="false" customHeight="false" outlineLevel="0" collapsed="false">
      <c r="A8" s="50" t="s">
        <v>177</v>
      </c>
      <c r="B8" s="44"/>
    </row>
    <row r="9" customFormat="false" ht="12.75" hidden="false" customHeight="false" outlineLevel="0" collapsed="false">
      <c r="A9" s="51" t="s">
        <v>175</v>
      </c>
      <c r="B9" s="47"/>
    </row>
    <row r="10" customFormat="false" ht="12.75" hidden="false" customHeight="false" outlineLevel="0" collapsed="false">
      <c r="A10" s="50" t="s">
        <v>134</v>
      </c>
      <c r="B10" s="44"/>
    </row>
    <row r="11" customFormat="false" ht="12.75" hidden="false" customHeight="false" outlineLevel="0" collapsed="false">
      <c r="A11" s="51" t="s">
        <v>132</v>
      </c>
      <c r="B11" s="47"/>
    </row>
    <row r="12" customFormat="false" ht="12.75" hidden="false" customHeight="false" outlineLevel="0" collapsed="false">
      <c r="A12" s="50" t="s">
        <v>165</v>
      </c>
      <c r="B12" s="44"/>
    </row>
    <row r="13" customFormat="false" ht="12.75" hidden="false" customHeight="false" outlineLevel="0" collapsed="false">
      <c r="A13" s="51" t="s">
        <v>163</v>
      </c>
      <c r="B13" s="47"/>
    </row>
    <row r="14" customFormat="false" ht="12.75" hidden="false" customHeight="false" outlineLevel="0" collapsed="false">
      <c r="A14" s="50" t="s">
        <v>219</v>
      </c>
      <c r="B14" s="44"/>
    </row>
    <row r="15" customFormat="false" ht="12.75" hidden="false" customHeight="false" outlineLevel="0" collapsed="false">
      <c r="A15" s="51" t="s">
        <v>217</v>
      </c>
      <c r="B15" s="47"/>
    </row>
    <row r="16" customFormat="false" ht="12.75" hidden="false" customHeight="false" outlineLevel="0" collapsed="false">
      <c r="A16" s="50" t="s">
        <v>169</v>
      </c>
      <c r="B16" s="44"/>
    </row>
    <row r="17" customFormat="false" ht="12.75" hidden="false" customHeight="false" outlineLevel="0" collapsed="false">
      <c r="A17" s="51" t="s">
        <v>167</v>
      </c>
      <c r="B17" s="47"/>
    </row>
    <row r="18" customFormat="false" ht="12.75" hidden="false" customHeight="false" outlineLevel="0" collapsed="false">
      <c r="A18" s="50" t="s">
        <v>181</v>
      </c>
      <c r="B18" s="44"/>
    </row>
    <row r="19" customFormat="false" ht="12.75" hidden="false" customHeight="false" outlineLevel="0" collapsed="false">
      <c r="A19" s="51" t="s">
        <v>179</v>
      </c>
      <c r="B19" s="47"/>
    </row>
    <row r="20" customFormat="false" ht="12.75" hidden="false" customHeight="false" outlineLevel="0" collapsed="false">
      <c r="A20" s="50" t="s">
        <v>237</v>
      </c>
      <c r="B20" s="44"/>
    </row>
    <row r="21" customFormat="false" ht="12.75" hidden="false" customHeight="false" outlineLevel="0" collapsed="false">
      <c r="A21" s="51" t="s">
        <v>235</v>
      </c>
      <c r="B21" s="47"/>
    </row>
    <row r="22" customFormat="false" ht="12.75" hidden="false" customHeight="false" outlineLevel="0" collapsed="false">
      <c r="A22" s="50" t="s">
        <v>193</v>
      </c>
      <c r="B22" s="44"/>
    </row>
    <row r="23" customFormat="false" ht="12.75" hidden="false" customHeight="false" outlineLevel="0" collapsed="false">
      <c r="A23" s="51" t="s">
        <v>191</v>
      </c>
      <c r="B23" s="47"/>
    </row>
    <row r="24" customFormat="false" ht="12.75" hidden="false" customHeight="false" outlineLevel="0" collapsed="false">
      <c r="A24" s="50" t="s">
        <v>197</v>
      </c>
      <c r="B24" s="44"/>
    </row>
    <row r="25" customFormat="false" ht="12.75" hidden="false" customHeight="false" outlineLevel="0" collapsed="false">
      <c r="A25" s="51" t="s">
        <v>195</v>
      </c>
      <c r="B25" s="47"/>
    </row>
    <row r="26" customFormat="false" ht="12.75" hidden="false" customHeight="false" outlineLevel="0" collapsed="false">
      <c r="A26" s="50" t="s">
        <v>279</v>
      </c>
      <c r="B26" s="44"/>
    </row>
    <row r="27" customFormat="false" ht="12.75" hidden="false" customHeight="false" outlineLevel="0" collapsed="false">
      <c r="A27" s="51" t="s">
        <v>277</v>
      </c>
      <c r="B27" s="47"/>
    </row>
    <row r="28" customFormat="false" ht="12.75" hidden="false" customHeight="false" outlineLevel="0" collapsed="false">
      <c r="A28" s="50" t="s">
        <v>268</v>
      </c>
      <c r="B28" s="44"/>
    </row>
    <row r="29" customFormat="false" ht="12.75" hidden="false" customHeight="false" outlineLevel="0" collapsed="false">
      <c r="A29" s="51" t="s">
        <v>266</v>
      </c>
      <c r="B29" s="47"/>
    </row>
    <row r="30" customFormat="false" ht="12.75" hidden="false" customHeight="false" outlineLevel="0" collapsed="false">
      <c r="A30" s="50" t="s">
        <v>14</v>
      </c>
      <c r="B30" s="44"/>
    </row>
    <row r="31" customFormat="false" ht="12.75" hidden="false" customHeight="false" outlineLevel="0" collapsed="false">
      <c r="A31" s="51" t="s">
        <v>10</v>
      </c>
      <c r="B31" s="47"/>
    </row>
    <row r="32" customFormat="false" ht="12.75" hidden="false" customHeight="false" outlineLevel="0" collapsed="false">
      <c r="A32" s="50" t="s">
        <v>185</v>
      </c>
      <c r="B32" s="44"/>
    </row>
    <row r="33" customFormat="false" ht="12.75" hidden="false" customHeight="false" outlineLevel="0" collapsed="false">
      <c r="A33" s="51" t="s">
        <v>183</v>
      </c>
      <c r="B33" s="47"/>
    </row>
    <row r="34" customFormat="false" ht="12.75" hidden="false" customHeight="false" outlineLevel="0" collapsed="false">
      <c r="A34" s="50" t="s">
        <v>189</v>
      </c>
      <c r="B34" s="44"/>
    </row>
    <row r="35" customFormat="false" ht="12.75" hidden="false" customHeight="false" outlineLevel="0" collapsed="false">
      <c r="A35" s="51" t="s">
        <v>187</v>
      </c>
      <c r="B35" s="47"/>
    </row>
    <row r="36" customFormat="false" ht="12.75" hidden="false" customHeight="false" outlineLevel="0" collapsed="false">
      <c r="A36" s="50" t="s">
        <v>201</v>
      </c>
      <c r="B36" s="44"/>
    </row>
    <row r="37" customFormat="false" ht="12.75" hidden="false" customHeight="false" outlineLevel="0" collapsed="false">
      <c r="A37" s="51" t="s">
        <v>199</v>
      </c>
      <c r="B37" s="47"/>
    </row>
    <row r="38" customFormat="false" ht="12.75" hidden="false" customHeight="false" outlineLevel="0" collapsed="false">
      <c r="A38" s="50" t="s">
        <v>224</v>
      </c>
      <c r="B38" s="44"/>
    </row>
    <row r="39" customFormat="false" ht="12.75" hidden="false" customHeight="false" outlineLevel="0" collapsed="false">
      <c r="A39" s="51" t="s">
        <v>221</v>
      </c>
      <c r="B39" s="47"/>
    </row>
    <row r="40" customFormat="false" ht="12.75" hidden="false" customHeight="false" outlineLevel="0" collapsed="false">
      <c r="A40" s="50" t="s">
        <v>229</v>
      </c>
      <c r="B40" s="44"/>
    </row>
    <row r="41" customFormat="false" ht="12.75" hidden="false" customHeight="false" outlineLevel="0" collapsed="false">
      <c r="A41" s="51" t="s">
        <v>226</v>
      </c>
      <c r="B41" s="47"/>
    </row>
    <row r="42" customFormat="false" ht="12.75" hidden="false" customHeight="false" outlineLevel="0" collapsed="false">
      <c r="A42" s="50" t="s">
        <v>233</v>
      </c>
      <c r="B42" s="44"/>
    </row>
    <row r="43" customFormat="false" ht="12.75" hidden="false" customHeight="false" outlineLevel="0" collapsed="false">
      <c r="A43" s="51" t="s">
        <v>231</v>
      </c>
      <c r="B43" s="47"/>
    </row>
    <row r="44" customFormat="false" ht="12.75" hidden="false" customHeight="false" outlineLevel="0" collapsed="false">
      <c r="A44" s="50" t="s">
        <v>241</v>
      </c>
      <c r="B44" s="44"/>
    </row>
    <row r="45" customFormat="false" ht="12.75" hidden="false" customHeight="false" outlineLevel="0" collapsed="false">
      <c r="A45" s="51" t="s">
        <v>239</v>
      </c>
      <c r="B45" s="47"/>
    </row>
    <row r="46" customFormat="false" ht="12.75" hidden="false" customHeight="false" outlineLevel="0" collapsed="false">
      <c r="A46" s="50" t="s">
        <v>247</v>
      </c>
      <c r="B46" s="44"/>
    </row>
    <row r="47" customFormat="false" ht="12.75" hidden="false" customHeight="false" outlineLevel="0" collapsed="false">
      <c r="A47" s="51" t="s">
        <v>245</v>
      </c>
      <c r="B47" s="47"/>
    </row>
    <row r="48" customFormat="false" ht="12.75" hidden="false" customHeight="false" outlineLevel="0" collapsed="false">
      <c r="A48" s="50" t="s">
        <v>251</v>
      </c>
      <c r="B48" s="44"/>
    </row>
    <row r="49" customFormat="false" ht="12.75" hidden="false" customHeight="false" outlineLevel="0" collapsed="false">
      <c r="A49" s="51" t="s">
        <v>249</v>
      </c>
      <c r="B49" s="47"/>
    </row>
    <row r="50" customFormat="false" ht="12.75" hidden="false" customHeight="false" outlineLevel="0" collapsed="false">
      <c r="A50" s="50" t="s">
        <v>258</v>
      </c>
      <c r="B50" s="44"/>
    </row>
    <row r="51" customFormat="false" ht="12.75" hidden="false" customHeight="false" outlineLevel="0" collapsed="false">
      <c r="A51" s="51" t="s">
        <v>256</v>
      </c>
      <c r="B51" s="47"/>
    </row>
    <row r="52" customFormat="false" ht="12.75" hidden="false" customHeight="false" outlineLevel="0" collapsed="false">
      <c r="A52" s="50" t="s">
        <v>262</v>
      </c>
      <c r="B52" s="44"/>
    </row>
    <row r="53" customFormat="false" ht="12.75" hidden="false" customHeight="false" outlineLevel="0" collapsed="false">
      <c r="A53" s="51" t="s">
        <v>260</v>
      </c>
      <c r="B53" s="47"/>
    </row>
    <row r="54" customFormat="false" ht="12.75" hidden="false" customHeight="false" outlineLevel="0" collapsed="false">
      <c r="A54" s="50" t="s">
        <v>285</v>
      </c>
      <c r="B54" s="44"/>
    </row>
    <row r="55" customFormat="false" ht="12.75" hidden="false" customHeight="false" outlineLevel="0" collapsed="false">
      <c r="A55" s="51" t="s">
        <v>283</v>
      </c>
      <c r="B55" s="47"/>
    </row>
    <row r="56" customFormat="false" ht="12.75" hidden="false" customHeight="false" outlineLevel="0" collapsed="false">
      <c r="A56" s="50" t="s">
        <v>291</v>
      </c>
      <c r="B56" s="44"/>
    </row>
    <row r="57" customFormat="false" ht="12.75" hidden="false" customHeight="false" outlineLevel="0" collapsed="false">
      <c r="A57" s="51" t="s">
        <v>289</v>
      </c>
      <c r="B57" s="47"/>
    </row>
    <row r="58" customFormat="false" ht="12.75" hidden="false" customHeight="false" outlineLevel="0" collapsed="false">
      <c r="A58" s="50" t="s">
        <v>299</v>
      </c>
      <c r="B58" s="44"/>
    </row>
    <row r="59" customFormat="false" ht="12.75" hidden="false" customHeight="false" outlineLevel="0" collapsed="false">
      <c r="A59" s="51" t="s">
        <v>297</v>
      </c>
      <c r="B59" s="47"/>
    </row>
    <row r="60" customFormat="false" ht="12.75" hidden="false" customHeight="false" outlineLevel="0" collapsed="false">
      <c r="A60" s="50" t="s">
        <v>362</v>
      </c>
      <c r="B60" s="44"/>
    </row>
    <row r="61" customFormat="false" ht="12.75" hidden="false" customHeight="false" outlineLevel="0" collapsed="false">
      <c r="A61" s="51" t="s">
        <v>360</v>
      </c>
      <c r="B61" s="47"/>
    </row>
    <row r="62" customFormat="false" ht="12.75" hidden="false" customHeight="false" outlineLevel="0" collapsed="false">
      <c r="A62" s="50" t="s">
        <v>376</v>
      </c>
      <c r="B62" s="44"/>
    </row>
    <row r="63" customFormat="false" ht="12.75" hidden="false" customHeight="false" outlineLevel="0" collapsed="false">
      <c r="A63" s="51" t="s">
        <v>374</v>
      </c>
      <c r="B63" s="47"/>
    </row>
    <row r="64" customFormat="false" ht="12.75" hidden="false" customHeight="false" outlineLevel="0" collapsed="false">
      <c r="A64" s="50" t="s">
        <v>401</v>
      </c>
      <c r="B64" s="44"/>
    </row>
    <row r="65" customFormat="false" ht="12.75" hidden="false" customHeight="false" outlineLevel="0" collapsed="false">
      <c r="A65" s="51" t="s">
        <v>399</v>
      </c>
      <c r="B65" s="47"/>
    </row>
    <row r="66" customFormat="false" ht="12.75" hidden="false" customHeight="false" outlineLevel="0" collapsed="false">
      <c r="A66" s="50" t="s">
        <v>444</v>
      </c>
      <c r="B66" s="44"/>
    </row>
    <row r="67" customFormat="false" ht="12.75" hidden="false" customHeight="false" outlineLevel="0" collapsed="false">
      <c r="A67" s="51" t="s">
        <v>440</v>
      </c>
      <c r="B67" s="47"/>
    </row>
    <row r="68" customFormat="false" ht="12.75" hidden="false" customHeight="false" outlineLevel="0" collapsed="false">
      <c r="A68" s="50" t="s">
        <v>464</v>
      </c>
      <c r="B68" s="44"/>
    </row>
    <row r="69" customFormat="false" ht="12.75" hidden="false" customHeight="false" outlineLevel="0" collapsed="false">
      <c r="A69" s="51" t="s">
        <v>462</v>
      </c>
      <c r="B69" s="47"/>
    </row>
    <row r="70" customFormat="false" ht="12.75" hidden="false" customHeight="false" outlineLevel="0" collapsed="false">
      <c r="A70" s="50" t="s">
        <v>513</v>
      </c>
      <c r="B70" s="44"/>
    </row>
    <row r="71" customFormat="false" ht="12.75" hidden="false" customHeight="false" outlineLevel="0" collapsed="false">
      <c r="A71" s="51" t="s">
        <v>511</v>
      </c>
      <c r="B71" s="47"/>
    </row>
    <row r="72" customFormat="false" ht="12.75" hidden="false" customHeight="false" outlineLevel="0" collapsed="false">
      <c r="A72" s="50" t="s">
        <v>173</v>
      </c>
      <c r="B72" s="44"/>
    </row>
    <row r="73" customFormat="false" ht="12.75" hidden="false" customHeight="false" outlineLevel="0" collapsed="false">
      <c r="A73" s="51" t="s">
        <v>171</v>
      </c>
      <c r="B73" s="47"/>
    </row>
    <row r="74" customFormat="false" ht="12.75" hidden="false" customHeight="false" outlineLevel="0" collapsed="false">
      <c r="A74" s="50" t="s">
        <v>472</v>
      </c>
      <c r="B74" s="44"/>
    </row>
    <row r="75" customFormat="false" ht="12.75" hidden="false" customHeight="false" outlineLevel="0" collapsed="false">
      <c r="A75" s="51" t="s">
        <v>470</v>
      </c>
      <c r="B75" s="47"/>
    </row>
    <row r="76" customFormat="false" ht="12.75" hidden="false" customHeight="false" outlineLevel="0" collapsed="false">
      <c r="A76" s="52" t="s">
        <v>710</v>
      </c>
      <c r="B76" s="4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2021-06-24T07:24:03Z</dcterms:created>
  <dc:creator>ake</dc:creator>
  <dc:description/>
  <dc:language>en-US</dc:language>
  <cp:lastModifiedBy/>
  <dcterms:modified xsi:type="dcterms:W3CDTF">2026-09-29T19:21:06Z</dcterms:modified>
  <cp:revision>46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