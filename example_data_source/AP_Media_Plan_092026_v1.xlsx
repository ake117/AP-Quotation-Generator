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92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2" authorId="0">
      <text>
        <r>
          <rPr>
            <sz val="10"/>
            <rFont val="Arial"/>
            <family val="2"/>
          </rPr>
          <t xml:space="preserve">Awareness 4,000
Engagement 6,000</t>
        </r>
      </text>
    </comment>
    <comment ref="G3" authorId="0">
      <text>
        <r>
          <rPr>
            <sz val="10"/>
            <rFont val="Arial"/>
            <family val="2"/>
          </rPr>
          <t xml:space="preserve">Awareness 4,000
Engagement 6,000</t>
        </r>
      </text>
    </comment>
    <comment ref="G4" authorId="0">
      <text>
        <r>
          <rPr>
            <sz val="10"/>
            <rFont val="Arial"/>
            <family val="2"/>
          </rPr>
          <t xml:space="preserve">Awareness 4,000
Engagement 6,000</t>
        </r>
      </text>
    </comment>
    <comment ref="G5" authorId="0">
      <text>
        <r>
          <rPr>
            <sz val="10"/>
            <rFont val="Arial"/>
            <family val="2"/>
          </rPr>
          <t xml:space="preserve">Awareness 4,000
Engagement 6,000</t>
        </r>
      </text>
    </comment>
    <comment ref="G6" authorId="0">
      <text>
        <r>
          <rPr>
            <sz val="10"/>
            <rFont val="Arial"/>
            <family val="2"/>
          </rPr>
          <t xml:space="preserve">Awareness 6,000
Engagement 9,000</t>
        </r>
      </text>
    </comment>
    <comment ref="G7" authorId="0">
      <text>
        <r>
          <rPr>
            <sz val="10"/>
            <rFont val="Arial"/>
            <family val="2"/>
          </rPr>
          <t xml:space="preserve">Awareness 4,000
Engagement 6,000</t>
        </r>
      </text>
    </comment>
    <comment ref="G8" authorId="0">
      <text>
        <r>
          <rPr>
            <sz val="10"/>
            <rFont val="Arial"/>
            <family val="2"/>
          </rPr>
          <t xml:space="preserve">Awareness 4,000
Engagement 6,000</t>
        </r>
      </text>
    </comment>
    <comment ref="G9" authorId="0">
      <text>
        <r>
          <rPr>
            <sz val="10"/>
            <rFont val="Arial"/>
            <family val="2"/>
          </rPr>
          <t xml:space="preserve">Awareness 4,000
Engagement 6,000</t>
        </r>
      </text>
    </comment>
    <comment ref="G12" authorId="0">
      <text>
        <r>
          <rPr>
            <sz val="10"/>
            <rFont val="Arial"/>
            <family val="2"/>
          </rPr>
          <t xml:space="preserve">Awareness 4,000
Engagement 6,000</t>
        </r>
      </text>
    </comment>
    <comment ref="G13" authorId="0">
      <text>
        <r>
          <rPr>
            <sz val="10"/>
            <rFont val="Arial"/>
            <family val="2"/>
          </rPr>
          <t xml:space="preserve">Awareness 2,000
Traffic 8,000</t>
        </r>
      </text>
    </comment>
    <comment ref="G14" authorId="0">
      <text>
        <r>
          <rPr>
            <sz val="10"/>
            <rFont val="Arial"/>
            <family val="2"/>
          </rPr>
          <t xml:space="preserve">Awareness 1,000
Traffic 4,000</t>
        </r>
      </text>
    </comment>
    <comment ref="G15" authorId="0">
      <text>
        <r>
          <rPr>
            <sz val="10"/>
            <rFont val="Arial"/>
            <family val="2"/>
          </rPr>
          <t xml:space="preserve">Awareness 4,000
Engagement 6,000</t>
        </r>
      </text>
    </comment>
    <comment ref="G16" authorId="0">
      <text>
        <r>
          <rPr>
            <sz val="10"/>
            <rFont val="Arial"/>
            <family val="2"/>
          </rPr>
          <t xml:space="preserve">Awareness 6,000
Engagement 9,000</t>
        </r>
      </text>
    </comment>
    <comment ref="G17" authorId="0">
      <text>
        <r>
          <rPr>
            <sz val="10"/>
            <rFont val="Arial"/>
            <family val="2"/>
          </rPr>
          <t xml:space="preserve">Awareness 6,000
Engagement 9,000</t>
        </r>
      </text>
    </comment>
    <comment ref="G21" authorId="0">
      <text>
        <r>
          <rPr>
            <sz val="10"/>
            <rFont val="Arial"/>
            <family val="2"/>
          </rPr>
          <t xml:space="preserve">Awareness 8,000
Engagement 12,000</t>
        </r>
      </text>
    </comment>
    <comment ref="G22" authorId="0">
      <text>
        <r>
          <rPr>
            <sz val="10"/>
            <rFont val="Arial"/>
            <family val="2"/>
          </rPr>
          <t xml:space="preserve">Awareness 1,000
Traffic 4,000</t>
        </r>
      </text>
    </comment>
    <comment ref="G23" authorId="0">
      <text>
        <r>
          <rPr>
            <sz val="10"/>
            <rFont val="Arial"/>
            <family val="2"/>
          </rPr>
          <t xml:space="preserve">Awareness 1,000
Traffic 4,000</t>
        </r>
      </text>
    </comment>
    <comment ref="G24" authorId="0">
      <text>
        <r>
          <rPr>
            <sz val="10"/>
            <rFont val="Arial"/>
            <family val="2"/>
          </rPr>
          <t xml:space="preserve">Awareness 1,000
Traffic 4,000</t>
        </r>
      </text>
    </comment>
    <comment ref="G25" authorId="0">
      <text>
        <r>
          <rPr>
            <sz val="10"/>
            <rFont val="Arial"/>
            <family val="2"/>
          </rPr>
          <t xml:space="preserve">Awareness 1,000
Traffic 4,000</t>
        </r>
      </text>
    </comment>
    <comment ref="G26" authorId="0">
      <text>
        <r>
          <rPr>
            <sz val="10"/>
            <rFont val="Arial"/>
            <family val="2"/>
          </rPr>
          <t xml:space="preserve">Awareness 1,000
Traffic 4,000</t>
        </r>
      </text>
    </comment>
    <comment ref="G27" authorId="0">
      <text>
        <r>
          <rPr>
            <sz val="10"/>
            <rFont val="Arial"/>
            <family val="2"/>
          </rPr>
          <t xml:space="preserve">Awareness 1,000
Traffic 4,000</t>
        </r>
      </text>
    </comment>
    <comment ref="G28" authorId="0">
      <text>
        <r>
          <rPr>
            <sz val="10"/>
            <rFont val="Arial"/>
            <family val="2"/>
          </rPr>
          <t xml:space="preserve">Awareness 1,000
Traffic 4,000</t>
        </r>
      </text>
    </comment>
    <comment ref="G34" authorId="0">
      <text>
        <r>
          <rPr>
            <sz val="10"/>
            <rFont val="Arial"/>
            <family val="2"/>
          </rPr>
          <t xml:space="preserve">Awareness 4,000
Engagement 6,000</t>
        </r>
      </text>
    </comment>
    <comment ref="G37" authorId="0">
      <text>
        <r>
          <rPr>
            <sz val="10"/>
            <rFont val="Arial"/>
            <family val="2"/>
          </rPr>
          <t xml:space="preserve">Awareness 6,000
Engagement 9,000</t>
        </r>
      </text>
    </comment>
    <comment ref="G39" authorId="0">
      <text>
        <r>
          <rPr>
            <sz val="10"/>
            <rFont val="Arial"/>
            <family val="2"/>
          </rPr>
          <t xml:space="preserve">Awareness 1,000
Traffic 4,000</t>
        </r>
      </text>
    </comment>
    <comment ref="G40" authorId="0">
      <text>
        <r>
          <rPr>
            <sz val="10"/>
            <rFont val="Arial"/>
            <family val="2"/>
          </rPr>
          <t xml:space="preserve">Awareness 1,000
Traffic 4,000</t>
        </r>
      </text>
    </comment>
    <comment ref="G41" authorId="0">
      <text>
        <r>
          <rPr>
            <sz val="10"/>
            <rFont val="Arial"/>
            <family val="2"/>
          </rPr>
          <t xml:space="preserve">Awareness 1,000
Traffic 4,000</t>
        </r>
      </text>
    </comment>
    <comment ref="G42" authorId="0">
      <text>
        <r>
          <rPr>
            <sz val="10"/>
            <rFont val="Arial"/>
            <family val="2"/>
          </rPr>
          <t xml:space="preserve">Awareness 1,000
Traffic 4,000</t>
        </r>
      </text>
    </comment>
    <comment ref="G43" authorId="0">
      <text>
        <r>
          <rPr>
            <sz val="10"/>
            <rFont val="Arial"/>
            <family val="2"/>
          </rPr>
          <t xml:space="preserve">Awareness 1,000
Traffic 4,000</t>
        </r>
      </text>
    </comment>
    <comment ref="G44" authorId="0">
      <text>
        <r>
          <rPr>
            <sz val="10"/>
            <rFont val="Arial"/>
            <family val="2"/>
          </rPr>
          <t xml:space="preserve">Awareness 400
Traffic 1,600</t>
        </r>
      </text>
    </comment>
    <comment ref="G50" authorId="0">
      <text>
        <r>
          <rPr>
            <sz val="10"/>
            <rFont val="Arial"/>
            <family val="2"/>
          </rPr>
          <t xml:space="preserve">Awareness 4,000
Engagement 6,000</t>
        </r>
      </text>
    </comment>
    <comment ref="G51" authorId="0">
      <text>
        <r>
          <rPr>
            <sz val="10"/>
            <rFont val="Arial"/>
            <family val="2"/>
          </rPr>
          <t xml:space="preserve">Awareness 4,000
Engagement 6,000</t>
        </r>
      </text>
    </comment>
    <comment ref="G52" authorId="0">
      <text>
        <r>
          <rPr>
            <sz val="10"/>
            <rFont val="Arial"/>
            <family val="2"/>
          </rPr>
          <t xml:space="preserve">Awareness 4,000
Engagement 6,000</t>
        </r>
      </text>
    </comment>
    <comment ref="G53" authorId="0">
      <text>
        <r>
          <rPr>
            <sz val="10"/>
            <rFont val="Arial"/>
            <family val="2"/>
          </rPr>
          <t xml:space="preserve">Awareness 1,000
Traffic 4,000</t>
        </r>
      </text>
    </comment>
    <comment ref="G54" authorId="0">
      <text>
        <r>
          <rPr>
            <sz val="10"/>
            <rFont val="Arial"/>
            <family val="2"/>
          </rPr>
          <t xml:space="preserve">Awareness 1,000
Traffic 4,000</t>
        </r>
      </text>
    </comment>
    <comment ref="G55" authorId="0">
      <text>
        <r>
          <rPr>
            <sz val="10"/>
            <rFont val="Arial"/>
            <family val="2"/>
          </rPr>
          <t xml:space="preserve">Awareness 1,000
Traffic 4,000</t>
        </r>
      </text>
    </comment>
    <comment ref="G56" authorId="0">
      <text>
        <r>
          <rPr>
            <sz val="10"/>
            <rFont val="Arial"/>
            <family val="2"/>
          </rPr>
          <t xml:space="preserve">Awareness 1,000
Traffic 4,000</t>
        </r>
      </text>
    </comment>
    <comment ref="G57" authorId="0">
      <text>
        <r>
          <rPr>
            <sz val="10"/>
            <rFont val="Arial"/>
            <family val="2"/>
          </rPr>
          <t xml:space="preserve">Awareness 1,000
Traffic 4,000</t>
        </r>
      </text>
    </comment>
    <comment ref="G58" authorId="0">
      <text>
        <r>
          <rPr>
            <sz val="10"/>
            <rFont val="Arial"/>
            <family val="2"/>
          </rPr>
          <t xml:space="preserve">Awareness 4,000
Engagement 6,000</t>
        </r>
      </text>
    </comment>
    <comment ref="G59" authorId="0">
      <text>
        <r>
          <rPr>
            <sz val="10"/>
            <rFont val="Arial"/>
            <family val="2"/>
          </rPr>
          <t xml:space="preserve">Awareness 4,000
Engagement 6,000</t>
        </r>
      </text>
    </comment>
    <comment ref="G60" authorId="0">
      <text>
        <r>
          <rPr>
            <sz val="10"/>
            <rFont val="Arial"/>
            <family val="2"/>
          </rPr>
          <t xml:space="preserve">Awareness 4,000
Engagement 6,000</t>
        </r>
      </text>
    </comment>
    <comment ref="G65" authorId="0">
      <text>
        <r>
          <rPr>
            <sz val="10"/>
            <rFont val="Arial"/>
            <family val="2"/>
          </rPr>
          <t xml:space="preserve">Awareness 1,000
Traffic 4,000</t>
        </r>
      </text>
    </comment>
    <comment ref="G66" authorId="0">
      <text>
        <r>
          <rPr>
            <sz val="10"/>
            <rFont val="Arial"/>
            <family val="2"/>
          </rPr>
          <t xml:space="preserve">Awareness 2,000
Traffic 8,000</t>
        </r>
      </text>
    </comment>
    <comment ref="G67" authorId="0">
      <text>
        <r>
          <rPr>
            <sz val="10"/>
            <rFont val="Arial"/>
            <family val="2"/>
          </rPr>
          <t xml:space="preserve">Awareness 1,000
Traffic 4,000</t>
        </r>
      </text>
    </comment>
    <comment ref="G70" authorId="0">
      <text>
        <r>
          <rPr>
            <sz val="10"/>
            <rFont val="Arial"/>
            <family val="2"/>
          </rPr>
          <t xml:space="preserve">Awareness 1,000
Traffic 4,000</t>
        </r>
      </text>
    </comment>
    <comment ref="G71" authorId="0">
      <text>
        <r>
          <rPr>
            <sz val="10"/>
            <rFont val="Arial"/>
            <family val="2"/>
          </rPr>
          <t xml:space="preserve">Awareness 1,000
Traffic 4,000</t>
        </r>
      </text>
    </comment>
    <comment ref="G80" authorId="0">
      <text>
        <r>
          <rPr>
            <sz val="10"/>
            <rFont val="Arial"/>
            <family val="2"/>
          </rPr>
          <t xml:space="preserve">Awareness 2,000
Traffic 8,000</t>
        </r>
      </text>
    </comment>
    <comment ref="G81" authorId="0">
      <text>
        <r>
          <rPr>
            <sz val="10"/>
            <rFont val="Arial"/>
            <family val="2"/>
          </rPr>
          <t xml:space="preserve">Awareness 2,000
Traffic 8,000</t>
        </r>
      </text>
    </comment>
    <comment ref="G84" authorId="0">
      <text>
        <r>
          <rPr>
            <sz val="10"/>
            <rFont val="Arial"/>
            <family val="2"/>
          </rPr>
          <t xml:space="preserve">Awareness 4,000
Engagement 6,000</t>
        </r>
      </text>
    </comment>
    <comment ref="G85" authorId="0">
      <text>
        <r>
          <rPr>
            <sz val="10"/>
            <rFont val="Arial"/>
            <family val="2"/>
          </rPr>
          <t xml:space="preserve">Awareness 4,000
Engagement 6,000</t>
        </r>
      </text>
    </comment>
    <comment ref="G90" authorId="0">
      <text>
        <r>
          <rPr>
            <sz val="10"/>
            <rFont val="Arial"/>
            <family val="2"/>
          </rPr>
          <t xml:space="preserve">Awareness 1,000
Traffic 4,000</t>
        </r>
      </text>
    </comment>
    <comment ref="G91" authorId="0">
      <text>
        <r>
          <rPr>
            <sz val="10"/>
            <rFont val="Arial"/>
            <family val="2"/>
          </rPr>
          <t xml:space="preserve">Awareness 1,000
Traffic 4,000</t>
        </r>
      </text>
    </comment>
    <comment ref="G92" authorId="0">
      <text>
        <r>
          <rPr>
            <sz val="10"/>
            <rFont val="Arial"/>
            <family val="2"/>
          </rPr>
          <t xml:space="preserve">Awareness 1,000
Traffic 4,000</t>
        </r>
      </text>
    </comment>
    <comment ref="G94" authorId="0">
      <text>
        <r>
          <rPr>
            <sz val="10"/>
            <rFont val="Arial"/>
            <family val="2"/>
          </rPr>
          <t xml:space="preserve">Awareness 1,000
Traffic 4,000</t>
        </r>
      </text>
    </comment>
    <comment ref="G95" authorId="0">
      <text>
        <r>
          <rPr>
            <sz val="10"/>
            <rFont val="Arial"/>
            <family val="2"/>
          </rPr>
          <t xml:space="preserve">Awareness 1,000
Traffic 4,000</t>
        </r>
      </text>
    </comment>
    <comment ref="G97" authorId="0">
      <text>
        <r>
          <rPr>
            <sz val="10"/>
            <rFont val="Arial"/>
            <family val="2"/>
          </rPr>
          <t xml:space="preserve">Awareness 4,500
Traffic 10,500</t>
        </r>
      </text>
    </comment>
    <comment ref="G98" authorId="0">
      <text>
        <r>
          <rPr>
            <sz val="10"/>
            <rFont val="Arial"/>
            <family val="2"/>
          </rPr>
          <t xml:space="preserve">Awareness 3,000
Traffic 12,000</t>
        </r>
      </text>
    </comment>
    <comment ref="G102" authorId="0">
      <text>
        <r>
          <rPr>
            <sz val="10"/>
            <rFont val="Arial"/>
            <family val="2"/>
          </rPr>
          <t xml:space="preserve">Awareness 2,000
Engagement 3,000</t>
        </r>
      </text>
    </comment>
    <comment ref="G107" authorId="0">
      <text>
        <r>
          <rPr>
            <sz val="10"/>
            <rFont val="Arial"/>
            <family val="2"/>
          </rPr>
          <t xml:space="preserve">Awareness 4,000
Engagement 6,000</t>
        </r>
      </text>
    </comment>
    <comment ref="G108" authorId="0">
      <text>
        <r>
          <rPr>
            <sz val="10"/>
            <rFont val="Arial"/>
            <family val="2"/>
          </rPr>
          <t xml:space="preserve">Awareness 4,000
Engagement 6,000</t>
        </r>
      </text>
    </comment>
    <comment ref="G109" authorId="0">
      <text>
        <r>
          <rPr>
            <sz val="10"/>
            <rFont val="Arial"/>
            <family val="2"/>
          </rPr>
          <t xml:space="preserve">Awareness 4,000
Engagement 6,000</t>
        </r>
      </text>
    </comment>
    <comment ref="G110" authorId="0">
      <text>
        <r>
          <rPr>
            <sz val="10"/>
            <rFont val="Arial"/>
            <family val="2"/>
          </rPr>
          <t xml:space="preserve">Awareness 4,000
Engagement 6,000</t>
        </r>
      </text>
    </comment>
    <comment ref="G111" authorId="0">
      <text>
        <r>
          <rPr>
            <sz val="10"/>
            <rFont val="Arial"/>
            <family val="2"/>
          </rPr>
          <t xml:space="preserve">Awareness 4,000
Engagement 6,000</t>
        </r>
      </text>
    </comment>
    <comment ref="G112" authorId="0">
      <text>
        <r>
          <rPr>
            <sz val="10"/>
            <rFont val="Arial"/>
            <family val="2"/>
          </rPr>
          <t xml:space="preserve">Awareness 4,000
Engagement 6,000</t>
        </r>
      </text>
    </comment>
    <comment ref="G117" authorId="0">
      <text>
        <r>
          <rPr>
            <sz val="10"/>
            <rFont val="Arial"/>
            <family val="2"/>
          </rPr>
          <t xml:space="preserve">Awareness 4,000
Engagement 6,000</t>
        </r>
      </text>
    </comment>
    <comment ref="G121" authorId="0">
      <text>
        <r>
          <rPr>
            <sz val="10"/>
            <rFont val="Arial"/>
            <family val="2"/>
          </rPr>
          <t xml:space="preserve">Awareness 4,000
Engagement 6,000</t>
        </r>
      </text>
    </comment>
    <comment ref="G123" authorId="0">
      <text>
        <r>
          <rPr>
            <sz val="10"/>
            <rFont val="Arial"/>
            <family val="2"/>
          </rPr>
          <t xml:space="preserve">Awareness 1,000
Traffic 4,000</t>
        </r>
      </text>
    </comment>
    <comment ref="G124" authorId="0">
      <text>
        <r>
          <rPr>
            <sz val="10"/>
            <rFont val="Arial"/>
            <family val="2"/>
          </rPr>
          <t xml:space="preserve">Awareness 1,000
Traffic 4,000</t>
        </r>
      </text>
    </comment>
    <comment ref="G125" authorId="0">
      <text>
        <r>
          <rPr>
            <sz val="10"/>
            <rFont val="Arial"/>
            <family val="2"/>
          </rPr>
          <t xml:space="preserve">Awareness 1,000
Traffic 4,000</t>
        </r>
      </text>
    </comment>
    <comment ref="G126" authorId="0">
      <text>
        <r>
          <rPr>
            <sz val="10"/>
            <rFont val="Arial"/>
            <family val="2"/>
          </rPr>
          <t xml:space="preserve">Awareness 4,000
Engagement 6,000</t>
        </r>
      </text>
    </comment>
    <comment ref="G132" authorId="0">
      <text>
        <r>
          <rPr>
            <sz val="10"/>
            <rFont val="Arial"/>
            <family val="2"/>
          </rPr>
          <t xml:space="preserve">Awareness 4,000
Engagement 6,000</t>
        </r>
      </text>
    </comment>
    <comment ref="G133" authorId="0">
      <text>
        <r>
          <rPr>
            <sz val="10"/>
            <rFont val="Arial"/>
            <family val="2"/>
          </rPr>
          <t xml:space="preserve">Awareness 6,000
Engagement 9,000</t>
        </r>
      </text>
    </comment>
    <comment ref="G134" authorId="0">
      <text>
        <r>
          <rPr>
            <sz val="10"/>
            <rFont val="Arial"/>
            <family val="2"/>
          </rPr>
          <t xml:space="preserve">Awareness 6,000
Engagement 9,000</t>
        </r>
      </text>
    </comment>
    <comment ref="G135" authorId="0">
      <text>
        <r>
          <rPr>
            <sz val="10"/>
            <rFont val="Arial"/>
            <family val="2"/>
          </rPr>
          <t xml:space="preserve">Awareness 6,000
Engagement 9,000</t>
        </r>
      </text>
    </comment>
    <comment ref="G136" authorId="0">
      <text>
        <r>
          <rPr>
            <sz val="10"/>
            <rFont val="Arial"/>
            <family val="2"/>
          </rPr>
          <t xml:space="preserve">Awareness 6,000
Engagement 9,000</t>
        </r>
      </text>
    </comment>
    <comment ref="G137" authorId="0">
      <text>
        <r>
          <rPr>
            <sz val="10"/>
            <rFont val="Arial"/>
            <family val="2"/>
          </rPr>
          <t xml:space="preserve">Awareness 6,000
Engagement 9,000</t>
        </r>
      </text>
    </comment>
    <comment ref="G138" authorId="0">
      <text>
        <r>
          <rPr>
            <sz val="10"/>
            <rFont val="Arial"/>
            <family val="2"/>
          </rPr>
          <t xml:space="preserve">Awareness 4,000
Engagement 6,000</t>
        </r>
      </text>
    </comment>
    <comment ref="G139" authorId="0">
      <text>
        <r>
          <rPr>
            <sz val="10"/>
            <rFont val="Arial"/>
            <family val="2"/>
          </rPr>
          <t xml:space="preserve">Awareness 4,000
Engagement 6,000</t>
        </r>
      </text>
    </comment>
    <comment ref="G141" authorId="0">
      <text>
        <r>
          <rPr>
            <sz val="10"/>
            <rFont val="Arial"/>
            <family val="2"/>
          </rPr>
          <t xml:space="preserve">Awareness 4,000
Engagement 6,000</t>
        </r>
      </text>
    </comment>
    <comment ref="G142" authorId="0">
      <text>
        <r>
          <rPr>
            <sz val="10"/>
            <rFont val="Arial"/>
            <family val="2"/>
          </rPr>
          <t xml:space="preserve">Awareness 4,000
Engagement 6,000</t>
        </r>
      </text>
    </comment>
  </commentList>
</comments>
</file>

<file path=xl/sharedStrings.xml><?xml version="1.0" encoding="utf-8"?>
<sst xmlns="http://schemas.openxmlformats.org/spreadsheetml/2006/main" count="1444" uniqueCount="582">
  <si>
    <t xml:space="preserve">No.</t>
  </si>
  <si>
    <t xml:space="preserve">Assign Date</t>
  </si>
  <si>
    <t xml:space="preserve">Project</t>
  </si>
  <si>
    <t xml:space="preserve">BriefName</t>
  </si>
  <si>
    <t xml:space="preserve">Note</t>
  </si>
  <si>
    <t xml:space="preserve">QT No.</t>
  </si>
  <si>
    <t xml:space="preserve">Objective</t>
  </si>
  <si>
    <t xml:space="preserve">Ad Format</t>
  </si>
  <si>
    <t xml:space="preserve">BG</t>
  </si>
  <si>
    <t xml:space="preserve">Page</t>
  </si>
  <si>
    <t xml:space="preserve">Period</t>
  </si>
  <si>
    <t xml:space="preserve">Budget All</t>
  </si>
  <si>
    <t xml:space="preserve">Budget Ex VAT</t>
  </si>
  <si>
    <t xml:space="preserve">Pure media</t>
  </si>
  <si>
    <t xml:space="preserve">Media Fee</t>
  </si>
  <si>
    <t xml:space="preserve">PO No.</t>
  </si>
  <si>
    <t xml:space="preserve">Status</t>
  </si>
  <si>
    <t xml:space="preserve">Budget Type</t>
  </si>
  <si>
    <t xml:space="preserve">Post Link</t>
  </si>
  <si>
    <t xml:space="preserve">Apitown Chonburi - Bangsaen</t>
  </si>
  <si>
    <t xml:space="preserve">Apitown Chonburi - Bangsaen_บ้านใหม่ที่ให้ทุกวัน ใกล้ทุกไลฟ์สไตล์</t>
  </si>
  <si>
    <t xml:space="preserve">2026/1542</t>
  </si>
  <si>
    <t xml:space="preserve">Awareness&amp;Engagement</t>
  </si>
  <si>
    <t xml:space="preserve">Boostpost</t>
  </si>
  <si>
    <t xml:space="preserve">TH</t>
  </si>
  <si>
    <t xml:space="preserve">AP Thai</t>
  </si>
  <si>
    <t xml:space="preserve">1 - 11 Sep 2026</t>
  </si>
  <si>
    <t xml:space="preserve">รอ PO</t>
  </si>
  <si>
    <t xml:space="preserve">https://www.facebook.com/share/p/1E8utPuGLY/?mibextid=wwXIfr</t>
  </si>
  <si>
    <t xml:space="preserve">Pleno Rama 9 - Krungthepkreetha 4</t>
  </si>
  <si>
    <t xml:space="preserve">Pleno Rama 9 - Krungthepkreetha 4_9.9</t>
  </si>
  <si>
    <t xml:space="preserve">2026/1543</t>
  </si>
  <si>
    <t xml:space="preserve">AP Thai_Townhome</t>
  </si>
  <si>
    <t xml:space="preserve">https://www.facebook.com/photo/?fbid=1758722329710092&amp;set=a.579268780988792</t>
  </si>
  <si>
    <t xml:space="preserve">Pleno Bangna - Theparak</t>
  </si>
  <si>
    <t xml:space="preserve">Pleno Bangna - Theparak_โชคทันใจ ได้บ้านไม่ต้องรอ ฟรีทั้งหลัง</t>
  </si>
  <si>
    <t xml:space="preserve">2026/1544</t>
  </si>
  <si>
    <t xml:space="preserve">https://www.facebook.com/APthaitownhome/posts/pfbid02G8GX6FJbjPz8mw8ezVknaWcf7uqbCAMxAGyTrHg1xWRyJP8vpDs48973F2dy3xWl</t>
  </si>
  <si>
    <t xml:space="preserve">Pleno Preakasa - Sukhumvit</t>
  </si>
  <si>
    <t xml:space="preserve">Pleno Preakasa - Sukhumvit_โชคทันใจ ได้บ้านไม่ต้องรอ</t>
  </si>
  <si>
    <t xml:space="preserve">2026/1545</t>
  </si>
  <si>
    <t xml:space="preserve">https://www.facebook.com/APthaitownhome/posts/pfbid02q7P83gYjmocq1tpYnwcEWC53zYu8wiADPmYDBp9YRwBdtXfafnbExxQ2A5CP7ePPl</t>
  </si>
  <si>
    <t xml:space="preserve">Grande Pleno Krungthepkreetha</t>
  </si>
  <si>
    <t xml:space="preserve">Grande Pleno Krungthepkreetha_9.9</t>
  </si>
  <si>
    <t xml:space="preserve">2026/1546</t>
  </si>
  <si>
    <t xml:space="preserve">1 - 13 Sep 2026</t>
  </si>
  <si>
    <t xml:space="preserve">https://www.facebook.com/photo/?fbid=1758896209692704&amp;set=a.579268780988792</t>
  </si>
  <si>
    <t xml:space="preserve">Pleno Town Bangna</t>
  </si>
  <si>
    <t xml:space="preserve">Pleno Town Bangna_โชคทันใจ ได้บ้านไม่ต้องรอ</t>
  </si>
  <si>
    <t xml:space="preserve">2026/1547</t>
  </si>
  <si>
    <t xml:space="preserve">https://www.facebook.com/APthaitownhome/posts/pfbid0HME6w4wPdBQutvffnWihkCgMXKhUgDV9UuUv7FbazQQNJ5PBcwbYCgXabj7SM6MWl</t>
  </si>
  <si>
    <t xml:space="preserve">Pleno Town Sukhumvit - Bangpu</t>
  </si>
  <si>
    <t xml:space="preserve">Pleno Town Sukhumvit - Bangpu_โชคทันใจ ได้บ้านไม่ต้องรอ</t>
  </si>
  <si>
    <t xml:space="preserve">2026/1548</t>
  </si>
  <si>
    <t xml:space="preserve">https://www.facebook.com/APthaitownhome/posts/pfbid02hmTmg3SbHvsovVp5R4FgCFnLgoJpKhw7eyBdVFtfrRe6waFsWPZ47z6KdAZNvMBil</t>
  </si>
  <si>
    <t xml:space="preserve">BKM Classe Ratchada - Ladprao</t>
  </si>
  <si>
    <t xml:space="preserve">BKM Classe Ratchada - Ladprao_5 กันยายน นี้ เปิดตัวแบบบ้านซีรี่ย์ใหม่</t>
  </si>
  <si>
    <t xml:space="preserve">2026/1549</t>
  </si>
  <si>
    <t xml:space="preserve">2 - 6 Sep 2026</t>
  </si>
  <si>
    <t xml:space="preserve">https://www.facebook.com/share/p/1DD4skekah/?mibextid=wwXIfr</t>
  </si>
  <si>
    <t xml:space="preserve">Pleno Town Ladkrabang - Chalongkrung</t>
  </si>
  <si>
    <t xml:space="preserve">Pleno Town Ladkrabang - Chalongkrung 53_12–13 ก.ย. นี้ เปิดบ้านดีไซน์ใหม่ พร้อมโปรแรง</t>
  </si>
  <si>
    <t xml:space="preserve">2026/1550</t>
  </si>
  <si>
    <t xml:space="preserve">Engagement</t>
  </si>
  <si>
    <t xml:space="preserve">https://www.facebook.com/share/p/1DZCrLjGA5/?mibextid=wwXIfr</t>
  </si>
  <si>
    <t xml:space="preserve">BKM Ratchapruek Nakhon-In</t>
  </si>
  <si>
    <t xml:space="preserve">BKM Ratchapruek Nakhon-In_เฉพาะลูกค้าทาง LINE รับฟรี! ม่านทั้งหลัง</t>
  </si>
  <si>
    <t xml:space="preserve">2026/1551</t>
  </si>
  <si>
    <t xml:space="preserve">1 - 5 Sep 2026</t>
  </si>
  <si>
    <t xml:space="preserve">https://www.facebook.com/share/p/1HQ2ysL42J/?mibextid=wwXIfr</t>
  </si>
  <si>
    <t xml:space="preserve">Grande Pleno Ramintra - Wongwaen 2</t>
  </si>
  <si>
    <t xml:space="preserve">บ้านแฝด ทาวน์โฮม โซนรามอินทรา_โชคทันใจไม่ต้องรอ  9.9 DOUBLE DEALS</t>
  </si>
  <si>
    <t xml:space="preserve">2026/1552</t>
  </si>
  <si>
    <t xml:space="preserve">https://www.facebook.com/share/p/1LhrzK1sZe/?mibextid=wwXIfr</t>
  </si>
  <si>
    <t xml:space="preserve">BKM Classe Sukhumvit 77</t>
  </si>
  <si>
    <t xml:space="preserve">BKM Classe Sukhumvit 77_Dark Post_1</t>
  </si>
  <si>
    <t xml:space="preserve">2026/1553</t>
  </si>
  <si>
    <t xml:space="preserve">Awareness&amp;Traffic</t>
  </si>
  <si>
    <t xml:space="preserve">Dark Post 1</t>
  </si>
  <si>
    <t xml:space="preserve">Pleno Town Petchkasem 81</t>
  </si>
  <si>
    <t xml:space="preserve">Pleno Town Petchkasem 81_Dark Post_2</t>
  </si>
  <si>
    <t xml:space="preserve">2026/1554</t>
  </si>
  <si>
    <t xml:space="preserve">Dark Post 2</t>
  </si>
  <si>
    <t xml:space="preserve">BG2 TH1 :TH BKM The Edition</t>
  </si>
  <si>
    <t xml:space="preserve">บ้านกลางเมือง The Edition_โปรดีขนาดนี้ ต้องห้ามพลาด</t>
  </si>
  <si>
    <t xml:space="preserve">2026/1555</t>
  </si>
  <si>
    <t xml:space="preserve">3 - 13 Sep 2026</t>
  </si>
  <si>
    <t xml:space="preserve">https://www.facebook.com/photo/?fbid=1743182144508082&amp;set=a.637946355031672</t>
  </si>
  <si>
    <t xml:space="preserve">Pleno Sukhumvit - Bangna 3</t>
  </si>
  <si>
    <t xml:space="preserve">Pleno Sukhumvit - Bangna 3_บ้านแนวคิดใหม่ BEAMING N</t>
  </si>
  <si>
    <t xml:space="preserve">2026/1556</t>
  </si>
  <si>
    <t xml:space="preserve">3 - 17 Sep 2026</t>
  </si>
  <si>
    <t xml:space="preserve">https://www.facebook.com/APthaitownhome/posts/pfbid0a8BSeLnqzEC2qjMEtEgKthbKfpfobS37x5Sxw54eQfaZHSfHb7DeuUr5F8ob1UEul</t>
  </si>
  <si>
    <t xml:space="preserve">Grande Pleno Sukhumvit - Preakasa</t>
  </si>
  <si>
    <t xml:space="preserve">Grande Pleno Sukhumvit - Preakasa_1-13 ก.ย.</t>
  </si>
  <si>
    <t xml:space="preserve">2026/1557</t>
  </si>
  <si>
    <t xml:space="preserve">3 - 10 Sep 2026</t>
  </si>
  <si>
    <t xml:space="preserve">https://www.facebook.com/APthaitownhome/posts/pfbid0vzfb5wuusqJRQ6aYif9CXXD2kr9qADLdnRG2NKFYwmNAQfmQzcC8aC7yL4vYw2TLl</t>
  </si>
  <si>
    <t xml:space="preserve">Grande Pleno Pinklao - Kanchana</t>
  </si>
  <si>
    <t xml:space="preserve">Grande Pleno Pinklao - Kanchana_5-6 ก.ย.</t>
  </si>
  <si>
    <t xml:space="preserve">2026/1558</t>
  </si>
  <si>
    <t xml:space="preserve">3 - 6 Sep 2026</t>
  </si>
  <si>
    <t xml:space="preserve">https://www.facebook.com/photo?fbid=1760887579493567&amp;set=a.579268780988792</t>
  </si>
  <si>
    <t xml:space="preserve">Pleno Tiwanon</t>
  </si>
  <si>
    <t xml:space="preserve">Pleno Tiwanon_ทาวน์โฮมแปลงมุม ผ่อนเพียง 2,699 บ.</t>
  </si>
  <si>
    <t xml:space="preserve">2026/1559</t>
  </si>
  <si>
    <t xml:space="preserve">https://www.facebook.com/photo?fbid=1760920469490278&amp;set=a.579268780988792</t>
  </si>
  <si>
    <t xml:space="preserve">Pleno Vibhavadi - Rangsit</t>
  </si>
  <si>
    <t xml:space="preserve">Pleno Vibhavadi - Rangsit_คุ้มกว่าเช่า! ผ่อนเพียง 2,999 บ.</t>
  </si>
  <si>
    <t xml:space="preserve">2026/1560</t>
  </si>
  <si>
    <t xml:space="preserve">https://www.facebook.com/APthaitownhome/posts/pfbid028dUVzznES8kpyFKvsn1jDUYGWcLhSDKE8ok48VxeUY3wWqJN9ewUkyKnBetGJ1hVl</t>
  </si>
  <si>
    <t xml:space="preserve">BKM The Edition Yothinpattana</t>
  </si>
  <si>
    <t xml:space="preserve">BKM The Edition Yothinpattana_9 วันราคาพิเศษ 5-13 กันยายน</t>
  </si>
  <si>
    <t xml:space="preserve">2026/1561</t>
  </si>
  <si>
    <t xml:space="preserve">https://www.facebook.com/photo/?fbid=1761015926147399&amp;set=a.579268780988792</t>
  </si>
  <si>
    <t xml:space="preserve">Grande Pleno Thawiwatthana</t>
  </si>
  <si>
    <t xml:space="preserve">Grande Pleno Thawiwatthana_Dark Post_3</t>
  </si>
  <si>
    <t xml:space="preserve">2026/1562</t>
  </si>
  <si>
    <t xml:space="preserve">4 - 6 Sep 2026</t>
  </si>
  <si>
    <t xml:space="preserve">Dark Post 3</t>
  </si>
  <si>
    <t xml:space="preserve">Grande Pleno Salaya - Borom</t>
  </si>
  <si>
    <t xml:space="preserve">Grande Pleno Salaya - Borom_Dark Post_4</t>
  </si>
  <si>
    <t xml:space="preserve">2026/1563</t>
  </si>
  <si>
    <t xml:space="preserve">Dark Post 4</t>
  </si>
  <si>
    <t xml:space="preserve">Grande Pleno Suksawat 64</t>
  </si>
  <si>
    <t xml:space="preserve">Grande Pleno Suksawat 64_Dark Post_5</t>
  </si>
  <si>
    <t xml:space="preserve">2026/1564</t>
  </si>
  <si>
    <t xml:space="preserve">Dark Post 5</t>
  </si>
  <si>
    <t xml:space="preserve">Pleno Rama 3 - Suksawat 30</t>
  </si>
  <si>
    <t xml:space="preserve">Pleno Rama 3 - Suksawat 30_Dark Post_6</t>
  </si>
  <si>
    <t xml:space="preserve">2026/1565</t>
  </si>
  <si>
    <t xml:space="preserve">Dark Post 6</t>
  </si>
  <si>
    <t xml:space="preserve">Pleno Suksawat - Prachauthit 60</t>
  </si>
  <si>
    <t xml:space="preserve">Pleno Suksawat - Prachauthit 60_Dark Post_7</t>
  </si>
  <si>
    <t xml:space="preserve">2026/1566</t>
  </si>
  <si>
    <t xml:space="preserve">Dark Post 7</t>
  </si>
  <si>
    <t xml:space="preserve">Pleno Suksawat - Prachauthit</t>
  </si>
  <si>
    <t xml:space="preserve">Pleno Suksawat - Prachauthit_Dark Post_8</t>
  </si>
  <si>
    <t xml:space="preserve">2026/1567</t>
  </si>
  <si>
    <t xml:space="preserve">Dark Post 8</t>
  </si>
  <si>
    <t xml:space="preserve">Pleno Town Pinklao - Kanchana</t>
  </si>
  <si>
    <t xml:space="preserve">Pleno Town Pinklao - Kanchana_Dark Post_9</t>
  </si>
  <si>
    <t xml:space="preserve">2026/1568</t>
  </si>
  <si>
    <t xml:space="preserve">Dark Post 9</t>
  </si>
  <si>
    <t xml:space="preserve">BG2 Campaign : Marketing Town House</t>
  </si>
  <si>
    <t xml:space="preserve">TH_บ้านกลางเมือง_Complete Urban Living ลงตัวทุกมิติชีวิตกลางเมือง</t>
  </si>
  <si>
    <t xml:space="preserve">2026/1569</t>
  </si>
  <si>
    <t xml:space="preserve">4 - 8 Sep 2026</t>
  </si>
  <si>
    <t xml:space="preserve">https://www.facebook.com/photo?fbid=1744047091088254&amp;set=a.637946355031672</t>
  </si>
  <si>
    <t xml:space="preserve">BG2 TH2 : Marketing BKM</t>
  </si>
  <si>
    <t xml:space="preserve">BKM_Event บ้านกลางเมือง_5-6 ก.ย.</t>
  </si>
  <si>
    <t xml:space="preserve">2026/1570</t>
  </si>
  <si>
    <t xml:space="preserve">https://www.facebook.com/APthai/posts/pfbid0FyBF5TGzVRdxQXLZJASqYKJF4QkGiroh8mPWrcU9KAnpqdP8Zabd3NQvvWTtiXmsl</t>
  </si>
  <si>
    <t xml:space="preserve">BKM The Edition Prachachuen - Ngamwongwan</t>
  </si>
  <si>
    <t xml:space="preserve">2026/1571</t>
  </si>
  <si>
    <t xml:space="preserve">4 - 7 Sep 2026</t>
  </si>
  <si>
    <t xml:space="preserve">https://www.facebook.com/APthaitownhome/posts/pfbid02xnCMx69CNtnYL2Y3jgdesx55tKyE6JoWW2tTti5ccNiSj21eBkjo5ssUAL1MdeLrl</t>
  </si>
  <si>
    <t xml:space="preserve">BKM The Edition Sathorn - Suksawat</t>
  </si>
  <si>
    <t xml:space="preserve">BKM Rama 5_LAST CHANCE</t>
  </si>
  <si>
    <t xml:space="preserve">2026/1572</t>
  </si>
  <si>
    <t xml:space="preserve">https://www.facebook.com/photo?fbid=1761676689414656&amp;set=a.579268780988792</t>
  </si>
  <si>
    <t xml:space="preserve">Pleno Ratchapruek 2</t>
  </si>
  <si>
    <t xml:space="preserve">Pleno Ratchapruek 2_9 วันสุดท้าย เปิดราคาลับที่ไม่เคยมีมาก่อน</t>
  </si>
  <si>
    <t xml:space="preserve">2026/1573</t>
  </si>
  <si>
    <t xml:space="preserve">https://www.facebook.com/photo?fbid=1761748706074121&amp;set=a.579268780988792</t>
  </si>
  <si>
    <t xml:space="preserve">Grande Pleno Ramintra - Wongwaen 2_12-13 ก.ย.</t>
  </si>
  <si>
    <t xml:space="preserve">2026/1574</t>
  </si>
  <si>
    <t xml:space="preserve">4 - 13 Sep 2026</t>
  </si>
  <si>
    <t xml:space="preserve">https://www.facebook.com/photo/?fbid=1761859069396418&amp;set=a.579268780988792</t>
  </si>
  <si>
    <t xml:space="preserve">Pleno Future - Rangsit</t>
  </si>
  <si>
    <t xml:space="preserve">Pleno รังสิต ลำลูกกา_Pleno Future - Rangsit_9.9</t>
  </si>
  <si>
    <t xml:space="preserve">2026/1575</t>
  </si>
  <si>
    <t xml:space="preserve">4 - 10 Sep 2026</t>
  </si>
  <si>
    <t xml:space="preserve">https://www.facebook.com/APthaitownhome/posts/pfbid0QUomMWgJibvtwrZnfT3z5sSJ41DE7ij1wF49nH9Dhp3w9LKCGuVFF7NfGcky4wDdl</t>
  </si>
  <si>
    <t xml:space="preserve">ซื้อทาวน์โฮมปทุมธานี_Pleno Future - Rangsit_9.9</t>
  </si>
  <si>
    <t xml:space="preserve">2026/1576</t>
  </si>
  <si>
    <t xml:space="preserve">https://www.facebook.com/APthaitownhome/posts/pfbid025eNqh1AYoseNFDwqfKEKgEKhEitgqgs92ZiZfaN4LiEeLfzmKG5fdkmXKctsgbgtl</t>
  </si>
  <si>
    <t xml:space="preserve">บ้านกลางเมือง THE EDITION_9 วัน ราคาพิเศษ</t>
  </si>
  <si>
    <t xml:space="preserve">2026/1577</t>
  </si>
  <si>
    <t xml:space="preserve">https://www.facebook.com/photo?fbid=1762147449367580&amp;set=a.579268780988792</t>
  </si>
  <si>
    <t xml:space="preserve">Pleno West 42227</t>
  </si>
  <si>
    <t xml:space="preserve">PNWest 9วัน ราคาเดียว</t>
  </si>
  <si>
    <t xml:space="preserve">2026/1578</t>
  </si>
  <si>
    <t xml:space="preserve">https://www.facebook.com/APthaitownhome/posts/pfbid02pfHMJBj1FXfaCqn1XztnMjtU1DqZWMguouuZYjDqgGLaeFPU8fZ8pbGtwn4bHYQRl</t>
  </si>
  <si>
    <t xml:space="preserve">Grande Pleno Bangyai</t>
  </si>
  <si>
    <t xml:space="preserve">Grande Pleno Bangyai_Dark Post_10</t>
  </si>
  <si>
    <t xml:space="preserve">2026/1579</t>
  </si>
  <si>
    <t xml:space="preserve">Dark Post 10</t>
  </si>
  <si>
    <t xml:space="preserve">Pleno Town Westgate</t>
  </si>
  <si>
    <t xml:space="preserve">Pleno Town Westgate_Dark Post_11</t>
  </si>
  <si>
    <t xml:space="preserve">2026/1580</t>
  </si>
  <si>
    <t xml:space="preserve">Dark Post 11</t>
  </si>
  <si>
    <t xml:space="preserve">Pleno Rattanathibet - Bangyai</t>
  </si>
  <si>
    <t xml:space="preserve">Pleno Rattanathibet - Bangyai_Dark Post_12</t>
  </si>
  <si>
    <t xml:space="preserve">2026/1581</t>
  </si>
  <si>
    <t xml:space="preserve">Dark Post 12</t>
  </si>
  <si>
    <t xml:space="preserve">Pleno Bangyai 3</t>
  </si>
  <si>
    <t xml:space="preserve">Pleno Bangyai 3_Dark Post_13</t>
  </si>
  <si>
    <t xml:space="preserve">2026/1582</t>
  </si>
  <si>
    <t xml:space="preserve">Dark Post 13</t>
  </si>
  <si>
    <t xml:space="preserve">Pleno Town Rama 2</t>
  </si>
  <si>
    <t xml:space="preserve">Pleno Town Ekachai - Bangbon_Dark Post_14</t>
  </si>
  <si>
    <t xml:space="preserve">2026/1583</t>
  </si>
  <si>
    <t xml:space="preserve">Dark Post 14</t>
  </si>
  <si>
    <t xml:space="preserve">Pleno Town Bankluai - Kanchana</t>
  </si>
  <si>
    <t xml:space="preserve">Pleno Town Bankluai - Kanchana_Dark Post_15</t>
  </si>
  <si>
    <t xml:space="preserve">2026/1584</t>
  </si>
  <si>
    <t xml:space="preserve">7 - 10 Sep 2026</t>
  </si>
  <si>
    <t xml:space="preserve">Dark Post 15</t>
  </si>
  <si>
    <t xml:space="preserve">Pleno Chaengwattana - Tiwanon</t>
  </si>
  <si>
    <t xml:space="preserve">Pleno Chaengwattana - Tiwanon_5-6 ก.ย.</t>
  </si>
  <si>
    <t xml:space="preserve">2026/1585</t>
  </si>
  <si>
    <t xml:space="preserve">7 - 12 Sep 2026</t>
  </si>
  <si>
    <t xml:space="preserve">https://www.facebook.com/photo?fbid=1763098099272515&amp;set=a.579268780988792</t>
  </si>
  <si>
    <t xml:space="preserve">Grande Pleno Vibhavadi - Rangsit</t>
  </si>
  <si>
    <t xml:space="preserve">Grande Pleno Vibhavadi - Rangsit_5-6 ก.ย.</t>
  </si>
  <si>
    <t xml:space="preserve">2026/1586</t>
  </si>
  <si>
    <t xml:space="preserve">7 - 11 Sep 2026</t>
  </si>
  <si>
    <t xml:space="preserve">https://www.facebook.com/photo?fbid=1763209015928090&amp;set=a.579268780988792</t>
  </si>
  <si>
    <t xml:space="preserve">BKM Ramkhamhaeng 174 Station</t>
  </si>
  <si>
    <t xml:space="preserve">BKM Ladprao 101 Station_แปลงใหญ่ใจกลางลาดพร้าว</t>
  </si>
  <si>
    <t xml:space="preserve">2026/1587</t>
  </si>
  <si>
    <t xml:space="preserve">https://www.facebook.com/photo?fbid=1763279369254388&amp;set=a.579268780988792</t>
  </si>
  <si>
    <t xml:space="preserve">Grande Pleno Watcharapol - Chatuchot 10</t>
  </si>
  <si>
    <t xml:space="preserve">Zone Phahol โชคทันใจ_Grande Pleno Watcharapol - Chatuchot 10_GrandePleno บ้านดีไซน์ใหม่ ราคาพิเศษ สุขทุก GEN</t>
  </si>
  <si>
    <t xml:space="preserve">2026/1588</t>
  </si>
  <si>
    <t xml:space="preserve">https://www.facebook.com/APthaitownhome/posts/pfbid02NQ2CF5bosR5oCbL3ELs8GCo9hZ33CZKyUTyG5FkyfD2jGKadZmZopQsXTc7HHz65l</t>
  </si>
  <si>
    <t xml:space="preserve">Grande Pleno Phaholyothin - Phoemsin 28</t>
  </si>
  <si>
    <t xml:space="preserve">Zone Phahol โชคทันใจ_Grande Pleno Phaholyothin - Phoemsin 28_GrandePleno บ้านดีไซน์ใหม่ ราคาพิเศษ สุขทุก GEN</t>
  </si>
  <si>
    <t xml:space="preserve">2026/1589</t>
  </si>
  <si>
    <t xml:space="preserve">Grande Pleno Pinklao - Charun 2_สัมผัสความสงบของชีวิต ที่ไม่ได้มีแค่ภายในบ้าน</t>
  </si>
  <si>
    <t xml:space="preserve">2026/1590</t>
  </si>
  <si>
    <t xml:space="preserve">7 - 13 Sep 2026</t>
  </si>
  <si>
    <t xml:space="preserve">https://www.facebook.com/APthaitownhome/posts/pfbid08oJm6doccmbcuiLtKqZ6iPbsWvc8CZ8o2jnJGF7oowpAympEPJNEc7TxkV5JbCQFl</t>
  </si>
  <si>
    <t xml:space="preserve">Pleno Petchkasem 91</t>
  </si>
  <si>
    <t xml:space="preserve">ทาวน์โฮม และ บ้านแฝด โซน เพชรเกษม-บางแค_Pleno Petchkasem 91</t>
  </si>
  <si>
    <t xml:space="preserve">2026/1591</t>
  </si>
  <si>
    <t xml:space="preserve">7 - 17 Sep 2026</t>
  </si>
  <si>
    <t xml:space="preserve">https://www.facebook.com/APthai/posts/pfbid0kiP2iKcrLZU2BtmJNVKg3d4HeyXUhG3Fe29nqeEUyE95FuoGP5tg5JkucuiC1f53l</t>
  </si>
  <si>
    <t xml:space="preserve">ทาวน์โฮม และ บ้านแฝด โซน เพชรเกษม-บางแค_Pleno Town Petchkasem 81</t>
  </si>
  <si>
    <t xml:space="preserve">2026/1592</t>
  </si>
  <si>
    <t xml:space="preserve">Grande Pleno Suksawat 64_Dark Post_16</t>
  </si>
  <si>
    <t xml:space="preserve">2026/1593</t>
  </si>
  <si>
    <t xml:space="preserve">Dark Post 16</t>
  </si>
  <si>
    <t xml:space="preserve">Pleno Rama 3 - Suksawat 30_Dark Post_17</t>
  </si>
  <si>
    <t xml:space="preserve">2026/1594</t>
  </si>
  <si>
    <t xml:space="preserve">Dark Post 17</t>
  </si>
  <si>
    <t xml:space="preserve">Pleno Suksawat - Prachauthit 60_Dark Post_18</t>
  </si>
  <si>
    <t xml:space="preserve">2026/1595</t>
  </si>
  <si>
    <t xml:space="preserve">Dark Post 18</t>
  </si>
  <si>
    <t xml:space="preserve">Pleno Suksawat - Prachauthit_Dark Post_19</t>
  </si>
  <si>
    <t xml:space="preserve">2026/1596</t>
  </si>
  <si>
    <t xml:space="preserve">Dark Post 19</t>
  </si>
  <si>
    <t xml:space="preserve">Pleno Town Prachauthit 90_Pleno Suksawat - Prachauthit_Dark Post_20</t>
  </si>
  <si>
    <t xml:space="preserve">2026/1597</t>
  </si>
  <si>
    <t xml:space="preserve">Dark Post 20</t>
  </si>
  <si>
    <t xml:space="preserve">บางใหญ่ - เวสต์เกต_Pleno Town Westgate</t>
  </si>
  <si>
    <t xml:space="preserve">2026/1598</t>
  </si>
  <si>
    <t xml:space="preserve">8 - 18 Sep 2026</t>
  </si>
  <si>
    <t xml:space="preserve">https://www.facebook.com/APthai/posts/pfbid034psXso9vjSh6CyAcgbPddxsTLDNx2ZnRP6d6sZdu1AoBnFSWCfWymCBTzmc5kFozl</t>
  </si>
  <si>
    <t xml:space="preserve">Grande Pleno Ramintra - Chatuchot</t>
  </si>
  <si>
    <t xml:space="preserve">Grande Pleno Ramintra - Chatuchot_12-13 ก.ย. ONE PRICE</t>
  </si>
  <si>
    <t xml:space="preserve">2026/1599</t>
  </si>
  <si>
    <t xml:space="preserve">https://www.facebook.com/APthaitownhome/posts/pfbid0hcjKSAih1bQxFuVBYBJt1BR93ebemnBPHkAjMZYswiwbdBCAWFb9Rr85DPdGUYyNl</t>
  </si>
  <si>
    <t xml:space="preserve">Live Tiktok NISAMANEE FAMILY X AP TWIN &amp; TOWNHOME</t>
  </si>
  <si>
    <t xml:space="preserve">2026/1600</t>
  </si>
  <si>
    <t xml:space="preserve">8 - 10 Sep 2026</t>
  </si>
  <si>
    <t xml:space="preserve">https://www.facebook.com/APthaitownhome/posts/pfbid0bvojyufYQLsEKWRzzWFYimjTLx52X1qKxGu8RGbwosD59sFywYcCwQ1He1ZMuLdzl</t>
  </si>
  <si>
    <t xml:space="preserve">ทาวน์โฮมและบ้านแฝด โซนบางใหญ่ - เวสต์เกต - 345_นับถอยหลัง 9 วันสุดท้าย</t>
  </si>
  <si>
    <t xml:space="preserve">2026/1601</t>
  </si>
  <si>
    <t xml:space="preserve">https://www.facebook.com/APthaitownhome/posts/pfbid0314TBhhKmqExwqx8uNa7qviDuwki2VipN7AKXCoCmu5rqc1iwDgfDpueFuiKznwRil?locale=th_TH</t>
  </si>
  <si>
    <t xml:space="preserve">ทาวน์โฮมและบ้านแฝด โซนเพชรเกษม-บางแค-พระราม2_นับถอยหลัง 9 วันสุดท้าย</t>
  </si>
  <si>
    <t xml:space="preserve">2026/1602</t>
  </si>
  <si>
    <t xml:space="preserve">https://www.facebook.com/APthaitownhome/posts/pfbid02FrdHFUvxPfi2PdQRn3YcXVyXH81bqXn5em1m34kxNmZVod7Q3cG6qhbJautqXXgol?locale=th_TH</t>
  </si>
  <si>
    <t xml:space="preserve">ทาวน์โฮมและบ้านแฝด โซนปิ่นเกล้า - บรมฯ_นับถอยหลัง 9 วันสุดท้าย</t>
  </si>
  <si>
    <t xml:space="preserve">2026/1603</t>
  </si>
  <si>
    <t xml:space="preserve">https://www.facebook.com/APthaitownhome/posts/pfbid029gk9oLfW8ChFmPQfPCRP4r61rggPxc58Vm3DV3nJdMJ4tof75nSHjuFiKZVg7QiPl?locale=th_TH</t>
  </si>
  <si>
    <t xml:space="preserve">ทาวน์โฮมและบ้านแฝด ทำเลสุขสวัสดิ์ - ประชาอุทิศ_นับถอยหลัง 9 วันสุดท้าย</t>
  </si>
  <si>
    <t xml:space="preserve">2026/1604</t>
  </si>
  <si>
    <t xml:space="preserve">https://www.facebook.com/APthaitownhome/posts/pfbid02HY3MH2Wpf8rNwEXKyk91waT5VajkN3wfgUiwixrc477CqMnNJJG1S6THG4EXa2Xjl?locale=th_TH</t>
  </si>
  <si>
    <t xml:space="preserve">Pleno Bangyai - Kanchana</t>
  </si>
  <si>
    <t xml:space="preserve">Pleno Bangyai - Kanchana_Dark Post_21</t>
  </si>
  <si>
    <t xml:space="preserve">WA0002</t>
  </si>
  <si>
    <t xml:space="preserve">2026/1605</t>
  </si>
  <si>
    <t xml:space="preserve">Dark Post 21</t>
  </si>
  <si>
    <t xml:space="preserve">Pleno Town Pinklao - Sai 5</t>
  </si>
  <si>
    <t xml:space="preserve">โซน เพชรเกษม_Pleno Town Pinklao - Sai 5_Dark Post_22</t>
  </si>
  <si>
    <t xml:space="preserve">2026/1606</t>
  </si>
  <si>
    <t xml:space="preserve">8 - 13 Sep 2026</t>
  </si>
  <si>
    <t xml:space="preserve">Dark Post 22</t>
  </si>
  <si>
    <t xml:space="preserve">Grande Pleno Chaengwattana - Ratchapruk</t>
  </si>
  <si>
    <t xml:space="preserve">Grande Pleno Chaengwattana - Ratchapruek_Dark Post_23</t>
  </si>
  <si>
    <t xml:space="preserve">2026/1607</t>
  </si>
  <si>
    <t xml:space="preserve">Dark Post 23</t>
  </si>
  <si>
    <t xml:space="preserve">Life Phahon - Ladprao</t>
  </si>
  <si>
    <t xml:space="preserve">Life Phahon - Ladprao_9 DAYS 9 UNITS</t>
  </si>
  <si>
    <t xml:space="preserve">2026/1608</t>
  </si>
  <si>
    <t xml:space="preserve">Awareness</t>
  </si>
  <si>
    <t xml:space="preserve">CD</t>
  </si>
  <si>
    <t xml:space="preserve">https://x.com/AP_Inspire/status/2096070815712432617</t>
  </si>
  <si>
    <t xml:space="preserve">Aspire Itsaraphap Station</t>
  </si>
  <si>
    <t xml:space="preserve">Aspire Itsaraphap Station_คอนโดใหม่พร้อมอยู่ สไตล์รีสอร์ท</t>
  </si>
  <si>
    <t xml:space="preserve">2026/1609</t>
  </si>
  <si>
    <t xml:space="preserve">https://x.com/AP_Inspire/status/2096433213011087471</t>
  </si>
  <si>
    <t xml:space="preserve">Grande Pleno Salaya - Borom_Dark Post_24</t>
  </si>
  <si>
    <t xml:space="preserve">2026/1610</t>
  </si>
  <si>
    <t xml:space="preserve">10 - 13 Sep 2026</t>
  </si>
  <si>
    <t xml:space="preserve">Dark Post 24</t>
  </si>
  <si>
    <t xml:space="preserve">Grande Pleno Thawiwatthana_Dark Post_25</t>
  </si>
  <si>
    <t xml:space="preserve">2026/1611</t>
  </si>
  <si>
    <t xml:space="preserve">Dark Post 25</t>
  </si>
  <si>
    <t xml:space="preserve">Event บ้านกลางเมือง_9.9</t>
  </si>
  <si>
    <t xml:space="preserve">2026/1612</t>
  </si>
  <si>
    <t xml:space="preserve">9 - 12 Sep 2026</t>
  </si>
  <si>
    <t xml:space="preserve">https://www.facebook.com/photo?fbid=1767687688813556&amp;set=a.579268780988792</t>
  </si>
  <si>
    <t xml:space="preserve">Pleno Town Theparak - Bangphli</t>
  </si>
  <si>
    <t xml:space="preserve">Pleno Town Ladkrabang - Chalongkrung 53_Pleno Town Theparak - Bangphli_พบกัน 12-13 ก.ย.นี้</t>
  </si>
  <si>
    <t xml:space="preserve">WA0012</t>
  </si>
  <si>
    <t xml:space="preserve">2026/1613</t>
  </si>
  <si>
    <t xml:space="preserve">9 - 13 Sep 2026</t>
  </si>
  <si>
    <t xml:space="preserve">https://www.facebook.com/APthaitownhome/posts/pfbid0JBW5vEZtCcTj3kCnW4ZxPSKExbpYEfSn71JrNFbYLHcccSh9xqQzmeNQezAr8nnel</t>
  </si>
  <si>
    <t xml:space="preserve">ลาดกระบัง-สุวรรณภูมิ_Pleno Town Theparak - Bangphli_พบกัน 12-13 ก.ย.นี้</t>
  </si>
  <si>
    <t xml:space="preserve">2026/1614</t>
  </si>
  <si>
    <t xml:space="preserve">https://www.facebook.com/APthaitownhome/posts/pfbid02cm5SajdxzRmbJEs3bwLRv5yFRHPWrtgDYwEwUVJybpWnnBevTWhm6muXhxqMvhwTl</t>
  </si>
  <si>
    <t xml:space="preserve">Pleno Ratchapruek 2_นับถอยหลัง 9 วันสุดท้าย</t>
  </si>
  <si>
    <t xml:space="preserve">2026/1615</t>
  </si>
  <si>
    <t xml:space="preserve">VDO View</t>
  </si>
  <si>
    <t xml:space="preserve">11 - 13 Sep 2026</t>
  </si>
  <si>
    <t xml:space="preserve">https://www.facebook.com/reel/1405784174989879</t>
  </si>
  <si>
    <t xml:space="preserve">TH_Live Tiktok NISAMANEE FAMILY X AP TWIN &amp; TOWNHOME</t>
  </si>
  <si>
    <t xml:space="preserve">2026/1616</t>
  </si>
  <si>
    <t xml:space="preserve">9 - 10 Sep 2026</t>
  </si>
  <si>
    <t xml:space="preserve">https://www.facebook.com/photo?fbid=1768170062098652&amp;set=a.579268780988792</t>
  </si>
  <si>
    <t xml:space="preserve">ทาวน์โฮมและบ้านแฝด โซนดอนเมือง - ติวานนท์_นับถอยหลัง 9 วันสุดท้าย</t>
  </si>
  <si>
    <t xml:space="preserve">2026/1617</t>
  </si>
  <si>
    <t xml:space="preserve">9 - 11 Sep 2026</t>
  </si>
  <si>
    <t xml:space="preserve">https://www.facebook.com/APthaitownhome/posts/pfbid029zyxjBhsAKUPQ6egwBNnqDDk7zxTczrqH6KPTpYjfQaHAZTjESECYhKB3BmYisgJl</t>
  </si>
  <si>
    <t xml:space="preserve">บ้านกลางเมือง The Edition_9.9</t>
  </si>
  <si>
    <t xml:space="preserve">2026/1618</t>
  </si>
  <si>
    <t xml:space="preserve">https://www.facebook.com/APthaitownhome/posts/pfbid0L6Ex5jsMZmVnAgkZ2DaWwHqApEt78sER3aZwmuK4u7z8PGxt6NfcwngWpw5rj5Cpl</t>
  </si>
  <si>
    <t xml:space="preserve">BKM The Edition Bangna 2</t>
  </si>
  <si>
    <t xml:space="preserve">BKM The Edition Bangna 2_1 UNIT ONLY! พิเศษ 8.99 ล้าน</t>
  </si>
  <si>
    <t xml:space="preserve">2026/1619</t>
  </si>
  <si>
    <t xml:space="preserve">https://www.facebook.com/photo/?fbid=1749081953918101&amp;set=a.637946355031672</t>
  </si>
  <si>
    <t xml:space="preserve">Pleno Rama 9 - Krungthepkreetha 3</t>
  </si>
  <si>
    <t xml:space="preserve">Pleno Rama 9 - Krungthepkreetha 3_Dark Post_26</t>
  </si>
  <si>
    <t xml:space="preserve">2026/1620</t>
  </si>
  <si>
    <t xml:space="preserve">Dark Post 26</t>
  </si>
  <si>
    <t xml:space="preserve">Pleno Rama 9 - Krungthepkreetha 4_Dark Post_27</t>
  </si>
  <si>
    <t xml:space="preserve">2026/1621</t>
  </si>
  <si>
    <t xml:space="preserve">Dark Post 27</t>
  </si>
  <si>
    <t xml:space="preserve">BKM Pinklao - Borom</t>
  </si>
  <si>
    <t xml:space="preserve">BKM Pinklao - Borom_โอกาสสุดท้าย บ้านใกล้เมือง ในราคาที่สุดพิเศษ</t>
  </si>
  <si>
    <t xml:space="preserve">2026/1622</t>
  </si>
  <si>
    <t xml:space="preserve">10 - 12 Sep 2026</t>
  </si>
  <si>
    <t xml:space="preserve">https://www.facebook.com/APthaitownhome/posts/pfbid02eZGELr1rpHK8DaJNBfc2F6a3YcPZdj2YLFS63BejsiFas1x2RCj7MeMnMbDqjxm2l</t>
  </si>
  <si>
    <t xml:space="preserve">TH_Live Tiktok NISAMANEE FAMILY X AP TWIN &amp; TOWNHOME_ปังมากพี่นัท</t>
  </si>
  <si>
    <t xml:space="preserve">2026/1623</t>
  </si>
  <si>
    <t xml:space="preserve">10 - 11 Sep 2026</t>
  </si>
  <si>
    <t xml:space="preserve">https://www.facebook.com/photo/?fbid=1769266488655676&amp;set=a.579268780988792</t>
  </si>
  <si>
    <t xml:space="preserve">Grande Pleno Pinklao - Charun 2</t>
  </si>
  <si>
    <t xml:space="preserve">Grande Pleno Pinklao - Charun 2_12–13 ก.ย.</t>
  </si>
  <si>
    <t xml:space="preserve">2026/1624</t>
  </si>
  <si>
    <t xml:space="preserve">https://www.facebook.com/APthaitownhome/posts/pfbid0yCnqjaYcndaEq5UJPDwkM9oXkczSpYKM9AyVxAnZiZB8LAXbBau4MLdyi9WjqrVl</t>
  </si>
  <si>
    <t xml:space="preserve">Pleno Town Theparak - Bangphli_เปิดจองครั้งแรก 17–18 ต.ค.</t>
  </si>
  <si>
    <t xml:space="preserve">2026/1625</t>
  </si>
  <si>
    <t xml:space="preserve">10 - 20 Sep 2026</t>
  </si>
  <si>
    <t xml:space="preserve">https://www.facebook.com/APthaitownhome/posts/pfbid0ib5qGT5hZqw4zPZHGazNAzU7ciBRxCTPiB7xz8fWMmZqgSEWNrbNtQTdD325Cjx4l</t>
  </si>
  <si>
    <t xml:space="preserve">Pleno Town Ratchapruek-345</t>
  </si>
  <si>
    <t xml:space="preserve">Pleno Town Ratchapruek-345_นับถอยหลัง 9 วันสุดท้าย</t>
  </si>
  <si>
    <t xml:space="preserve">2026/1626</t>
  </si>
  <si>
    <t xml:space="preserve">https://www.facebook.com/photo?fbid=1769114865337505&amp;set=a.579268780988792</t>
  </si>
  <si>
    <t xml:space="preserve">BKM Sathorn - Petchkasem</t>
  </si>
  <si>
    <t xml:space="preserve">BKM Sathorn - Petchkasem_ปิดโซนใหม่ Private Zone</t>
  </si>
  <si>
    <t xml:space="preserve">2026/1627</t>
  </si>
  <si>
    <t xml:space="preserve">https://www.facebook.com/photo?fbid=1769179281997730&amp;set=a.579268780988792</t>
  </si>
  <si>
    <t xml:space="preserve">Grande Pleno Phaholyothin - Phoemsin 28_Event 12-13 ก.ย.</t>
  </si>
  <si>
    <t xml:space="preserve">2026/1628</t>
  </si>
  <si>
    <t xml:space="preserve">https://www.facebook.com/APthaitownhome/posts/pfbid0S98juP7S6YzB1b4FLDpdaidqG9tTQNyWWeWngSxyXUPz5LuiudkTcKQGYVKEEbnLl</t>
  </si>
  <si>
    <t xml:space="preserve">Grande Pleno Watcharapol - Chatuchot 10_Event 12-13 ก.ย.</t>
  </si>
  <si>
    <t xml:space="preserve">2026/1629</t>
  </si>
  <si>
    <t xml:space="preserve">https://www.facebook.com/APthaitownhome/posts/pfbid0aQ8UtHNwvmbxFkwh1QktQAtu2uTkxY2yPgKypuFiJ7BqpDYjAUp8sS2qxfJpvpZql</t>
  </si>
  <si>
    <t xml:space="preserve">BKM Classe Sukhumvit 77_Dark Post_28</t>
  </si>
  <si>
    <t xml:space="preserve">2026/1630</t>
  </si>
  <si>
    <t xml:space="preserve">Dark Post 28</t>
  </si>
  <si>
    <t xml:space="preserve">BKM The Edition Vibhavadi</t>
  </si>
  <si>
    <t xml:space="preserve">บ้านกลางเมือง THE EDITION โซนพหลโยธิน-วิภาวดี_Dark Post_29</t>
  </si>
  <si>
    <t xml:space="preserve">2026/1631</t>
  </si>
  <si>
    <t xml:space="preserve">Dark Post 29</t>
  </si>
  <si>
    <t xml:space="preserve">Pleno Town Pinklao - Kanchana_Dark Post_30</t>
  </si>
  <si>
    <t xml:space="preserve">2026/1632</t>
  </si>
  <si>
    <t xml:space="preserve">Dark Post 30</t>
  </si>
  <si>
    <t xml:space="preserve">Grande Pleno Thawiwatthana_Dark Post_31</t>
  </si>
  <si>
    <t xml:space="preserve">2026/1633</t>
  </si>
  <si>
    <t xml:space="preserve">Dark Post 31</t>
  </si>
  <si>
    <t xml:space="preserve">Pleno Town Ratchapruk 345</t>
  </si>
  <si>
    <t xml:space="preserve">Pleno Town Ratchapruek-345_Dark Post_32</t>
  </si>
  <si>
    <t xml:space="preserve">2026/1634</t>
  </si>
  <si>
    <t xml:space="preserve">Dark Post 32</t>
  </si>
  <si>
    <t xml:space="preserve">Pleno Ratchapruek 2_Dark Post_33</t>
  </si>
  <si>
    <t xml:space="preserve">2026/1635</t>
  </si>
  <si>
    <t xml:space="preserve">Dark Post 33</t>
  </si>
  <si>
    <t xml:space="preserve">Grande Pleno Ramintra - Bangchan Station</t>
  </si>
  <si>
    <t xml:space="preserve">Grande Pleno Ramintra - Bangchan Station_Dark Post_34</t>
  </si>
  <si>
    <t xml:space="preserve">2026/1636</t>
  </si>
  <si>
    <t xml:space="preserve">Dark Post 34</t>
  </si>
  <si>
    <t xml:space="preserve">Grande Pleno Rama 9 - Motorway</t>
  </si>
  <si>
    <t xml:space="preserve">Grande Pleno Rama 9 - Motorway_Dark Post_35</t>
  </si>
  <si>
    <t xml:space="preserve">2026/1637</t>
  </si>
  <si>
    <t xml:space="preserve">10 - 18 Sep 2026</t>
  </si>
  <si>
    <t xml:space="preserve">Dark Post 35</t>
  </si>
  <si>
    <t xml:space="preserve">Grande Pleno Krungthepkreetha_Dark Post_36</t>
  </si>
  <si>
    <t xml:space="preserve">WA0009</t>
  </si>
  <si>
    <t xml:space="preserve">2026/1638</t>
  </si>
  <si>
    <t xml:space="preserve">Dark Post 36</t>
  </si>
  <si>
    <t xml:space="preserve">Aspire Sukhumvit - Rama 4</t>
  </si>
  <si>
    <t xml:space="preserve">Aspire Sukhumvit - Rama 4_X</t>
  </si>
  <si>
    <t xml:space="preserve">2026/1639</t>
  </si>
  <si>
    <t xml:space="preserve">9 - 14 Sep 2026</t>
  </si>
  <si>
    <t xml:space="preserve">https://x.com/AP_Inspire/status/2097520377786487269</t>
  </si>
  <si>
    <t xml:space="preserve">Life Sathorn Sierra</t>
  </si>
  <si>
    <t xml:space="preserve">Life Sathorn Sierra_X</t>
  </si>
  <si>
    <t xml:space="preserve">2026/1640</t>
  </si>
  <si>
    <t xml:space="preserve">https://x.com/AP_Inspire/status/2098012629428215963</t>
  </si>
  <si>
    <t xml:space="preserve">All BKM_บ้านกลางเมือง กว่า 15 โครงการพร้อมอยู่ 7 วันสุดท้าย</t>
  </si>
  <si>
    <t xml:space="preserve">2026/1641</t>
  </si>
  <si>
    <t xml:space="preserve">11 - 15 Sep 2026</t>
  </si>
  <si>
    <t xml:space="preserve">https://www.facebook.com/photo/?fbid=1750186410474322&amp;set=a.637946355031672</t>
  </si>
  <si>
    <t xml:space="preserve">BKM The Edition Srinakarin - Suanluang</t>
  </si>
  <si>
    <t xml:space="preserve">BKM The Edition Rama 9 - Phatthanakan 2_11-13 ก.ย. นี้</t>
  </si>
  <si>
    <t xml:space="preserve">2026/1642</t>
  </si>
  <si>
    <t xml:space="preserve">11 - 14 Sep 2026</t>
  </si>
  <si>
    <t xml:space="preserve">https://www.facebook.com/APthai/posts/pfbid02kDLCbNA9ABbYTu9anaWJG2CHMzHJQ8ieueqeTRYq9Dmu1ixqgZXncwpbXmMK3XWWl?locale=th_TH</t>
  </si>
  <si>
    <t xml:space="preserve">Grande Pleno Pinklao - Kanchana_บ้านแฝดติดถนนกาญจนาฯ 0 เมตร</t>
  </si>
  <si>
    <t xml:space="preserve">2026/1643</t>
  </si>
  <si>
    <t xml:space="preserve">https://www.facebook.com/APthaitownhome/posts/pfbid0d5khP5snrQBij6jBN4CvibC7JDc5rcW6hqyCZ8G9VcVQTNscsC6ZXpCQWyPjP2ENl?locale=th_TH</t>
  </si>
  <si>
    <t xml:space="preserve">BKM Ramintra</t>
  </si>
  <si>
    <t xml:space="preserve">บ้านกลางเมืองโซนลาดพร้าว - รามอินทรา_BKM Ramintra_จอง 999 บาท เข้าอยู่ได้เลย</t>
  </si>
  <si>
    <t xml:space="preserve">2026/1644</t>
  </si>
  <si>
    <t xml:space="preserve">12 - 15 Sep 2026</t>
  </si>
  <si>
    <t xml:space="preserve">https://www.facebook.com/APthaitownhome/posts/pfbid0zHExzigYSGXWKCfp2N1FREbdaA4URYqRb9YRXWTPCEYuBNC1hkoPw4Uvg3LnFE91l?locale=th_TH</t>
  </si>
  <si>
    <t xml:space="preserve">BKM Ratchapruek Nakhon-In_ถ้าจะขยับบ้านทั้งที ขยับให้ได้มากกว่าเดิม</t>
  </si>
  <si>
    <t xml:space="preserve">2026/1645</t>
  </si>
  <si>
    <t xml:space="preserve">https://www.facebook.com/photo?fbid=1770379491877709&amp;set=a.579268780988792</t>
  </si>
  <si>
    <t xml:space="preserve">BKM_Event บ้านกลางเมือง_ศุกร์ X2</t>
  </si>
  <si>
    <t xml:space="preserve">2026/1646</t>
  </si>
  <si>
    <t xml:space="preserve">https://www.facebook.com/APthaitownhome/posts/pfbid02ksmrmwTunSnmdGrSkEk1a4geEUb7mu4vXYF1JkurjaQjbj4yLdtwPhuBqMW3tekYl?locale=th_TH</t>
  </si>
  <si>
    <t xml:space="preserve">Pleno Panya - Ramintra</t>
  </si>
  <si>
    <t xml:space="preserve">Pleno Panya - Ramintra_14-20 ก.ย</t>
  </si>
  <si>
    <t xml:space="preserve">2026/1647</t>
  </si>
  <si>
    <t xml:space="preserve">Awareness&amp;VDO View</t>
  </si>
  <si>
    <t xml:space="preserve">11 - 20 Sep 2026</t>
  </si>
  <si>
    <t xml:space="preserve">https://www.facebook.com/reel/1795179221663117?locale=th_TH</t>
  </si>
  <si>
    <t xml:space="preserve">Pleno Ramintra - Bangchan Station 2</t>
  </si>
  <si>
    <t xml:space="preserve">Pleno Ramintra - Bangchan Station 2_14-20 ก.ย</t>
  </si>
  <si>
    <t xml:space="preserve">2026/1648</t>
  </si>
  <si>
    <t xml:space="preserve">https://www.facebook.com/reel/1356559666692989?locale=th_TH</t>
  </si>
  <si>
    <t xml:space="preserve">Pleno Fashion - Ramintra</t>
  </si>
  <si>
    <t xml:space="preserve">Pleno Fashion - Ramintra_14-20 ก.ย</t>
  </si>
  <si>
    <t xml:space="preserve">2026/1649</t>
  </si>
  <si>
    <t xml:space="preserve">https://www.facebook.com/reel/3206000509591855</t>
  </si>
  <si>
    <t xml:space="preserve">Pleno Prachauthit - Suksawat</t>
  </si>
  <si>
    <t xml:space="preserve">โซนสุขสวัสดิ์_Pleno Prachauthit - Suksawat</t>
  </si>
  <si>
    <t xml:space="preserve">2026/1650</t>
  </si>
  <si>
    <t xml:space="preserve">14 - 24 Sep 2026</t>
  </si>
  <si>
    <t xml:space="preserve">https://www.facebook.com/APthai/posts/pfbid02X8735MoLVPCnvybuUFwSdSmpNWC36wJfR15pxwNS5eKSgEBzKvZ1vGXwq3eB41BVl?locale=th_TH</t>
  </si>
  <si>
    <t xml:space="preserve">2026/1651</t>
  </si>
  <si>
    <t xml:space="preserve">https://www.facebook.com/APthai/posts/pfbid0sNLGTfcHkf5VkGnbL3kLjwyADjnQCcY9hb2PHKWVefK14yAb8NdHkYDmxRaPQPXRl?locale=th_TH</t>
  </si>
  <si>
    <t xml:space="preserve">BKM Ratchapruek - Sathorn</t>
  </si>
  <si>
    <t xml:space="preserve">บ้านกลางเมือง โซนราชพฤกษ์-นนทบุรี</t>
  </si>
  <si>
    <t xml:space="preserve">2026/1652</t>
  </si>
  <si>
    <t xml:space="preserve">https://www.facebook.com/APthai/posts/pfbid027UXxzpShFprJJCoo3S8GWzMx54UMPLfTZFXmoejL8t8THZZePq4Pm7KSiMcYaCfLl?locale=th_TH</t>
  </si>
  <si>
    <t xml:space="preserve">Aspire Itsaraphap Station_X</t>
  </si>
  <si>
    <t xml:space="preserve">2026/1653</t>
  </si>
  <si>
    <t xml:space="preserve">14 - 17 Sep 2026</t>
  </si>
  <si>
    <t xml:space="preserve">https://x.com/AP_Inspire/status/2098245155434402159</t>
  </si>
  <si>
    <t xml:space="preserve">Aspire Onnut Station</t>
  </si>
  <si>
    <t xml:space="preserve">Aspire Onnut Station_X</t>
  </si>
  <si>
    <t xml:space="preserve">2026/1654</t>
  </si>
  <si>
    <t xml:space="preserve">14 - 16 Sep 2026</t>
  </si>
  <si>
    <t xml:space="preserve">https://x.com/AP_Inspire/status/2098969920935792832</t>
  </si>
  <si>
    <t xml:space="preserve">Good Day More - Bangmod</t>
  </si>
  <si>
    <t xml:space="preserve">Good Day More - Bangmod_X</t>
  </si>
  <si>
    <t xml:space="preserve">2026/1655</t>
  </si>
  <si>
    <t xml:space="preserve">14 - 20 Sep 2026</t>
  </si>
  <si>
    <t xml:space="preserve">https://x.com/AP_Inspire/status/2099407901140136264</t>
  </si>
  <si>
    <t xml:space="preserve">2026/1656</t>
  </si>
  <si>
    <t xml:space="preserve">https://www.facebook.com/APthaitownhome/posts/pfbid0ZbAt25QG5rco8trEFB5ow97wRC5vXwbJvpoUp4q7CgctK9iV6fpYTAs9V9MpVa5il?locale=th_TH</t>
  </si>
  <si>
    <t xml:space="preserve">BG2 TH4 : Marketing Pleno East</t>
  </si>
  <si>
    <t xml:space="preserve">Pleno East Last Event Q3_ด่วน 𝟳 วันสุดท้าย</t>
  </si>
  <si>
    <t xml:space="preserve">2026/1657</t>
  </si>
  <si>
    <t xml:space="preserve">14 - 21 Sep 2026</t>
  </si>
  <si>
    <t xml:space="preserve">https://www.facebook.com/APthaitownhome/posts/pfbid0Z6LgPonrqSjRkVqGDHUP2LAv6fVSV6Ki1g6kpm6wWaY8SepuuSSfqjc3oE9jtSQxl</t>
  </si>
  <si>
    <t xml:space="preserve">Grande Pleno Pinklao - Charun 2_บรรยากาศวันแรกของ VIP DAY</t>
  </si>
  <si>
    <t xml:space="preserve">2026/1658</t>
  </si>
  <si>
    <t xml:space="preserve">https://www.facebook.com/APthaitownhome/posts/pfbid024JBtFx6E1T5oGLoz9LA6DCbqs4orsgPib2BgawinVrgJ931hfe3sdN91uFWAM7Cal?locale=th_TH</t>
  </si>
  <si>
    <t xml:space="preserve">Grande Pleno Pinklao - Charun 2_วันนี้วันสุดท้าย! VIP DAY</t>
  </si>
  <si>
    <t xml:space="preserve">2026/1659</t>
  </si>
  <si>
    <t xml:space="preserve">https://www.facebook.com/APthaitownhome/posts/pfbid0EeQdd31jm7q3HULhK2BbP5qgtp8qxLKMg1ELphzhHEqgTTGwzSUks9uQN5rRytWGl?locale=th_TH</t>
  </si>
  <si>
    <t xml:space="preserve">Grande Pleno Pinklao - Charun 2_ภาพบรรยากาศวันสุดท้ายของ VIP DAY</t>
  </si>
  <si>
    <t xml:space="preserve">2026/1660</t>
  </si>
  <si>
    <t xml:space="preserve">https://www.facebook.com/APthaitownhome/posts/pfbid0BfCcVc1BNBUMAv6EwkhA33P9Hzt3TByR9i5kEiTGNvfwDy89J3Jsnf8GfouCbhEbl?locale=th_TH</t>
  </si>
  <si>
    <t xml:space="preserve">Apitown Chonburi - Bangsaen_ภาพบรรยากาศงาน VIP DAY  12-13 ก.ย</t>
  </si>
  <si>
    <t xml:space="preserve">2026/1661</t>
  </si>
  <si>
    <t xml:space="preserve">https://www.facebook.com/APthai/posts/pfbid024SAJdypscyG9zFNfRtVk9eVGoJP36BF1xVxxWLKZsRp5dKvLzB75pKCk2fHtRh28l</t>
  </si>
  <si>
    <t xml:space="preserve">BKM The Edition Srinakarin - Suanluang_19-20 ก.ย</t>
  </si>
  <si>
    <t xml:space="preserve">2026/1662</t>
  </si>
  <si>
    <t xml:space="preserve">14 - 18 Sep 2026</t>
  </si>
  <si>
    <t xml:space="preserve">https://www.facebook.com/photo?fbid=1773864511529207&amp;set=a.579268780988792</t>
  </si>
  <si>
    <t xml:space="preserve">Pleno Town Pinklao - Kanchana_Dark Post_37</t>
  </si>
  <si>
    <t xml:space="preserve">2026/1663</t>
  </si>
  <si>
    <t xml:space="preserve">16 - 20 Sep 2026</t>
  </si>
  <si>
    <t xml:space="preserve">Dark Post 37</t>
  </si>
  <si>
    <t xml:space="preserve">Grande Pleno Salaya - Borom_Dark Post_38</t>
  </si>
  <si>
    <t xml:space="preserve">2026/1664</t>
  </si>
  <si>
    <t xml:space="preserve">Dark Post 38</t>
  </si>
  <si>
    <t xml:space="preserve">Grande Pleno Thawiwatthana_Dark Post_39</t>
  </si>
  <si>
    <t xml:space="preserve">2026/1665</t>
  </si>
  <si>
    <t xml:space="preserve">Dark Post 39</t>
  </si>
  <si>
    <t xml:space="preserve">Pleno west 7 วันสุดท้ายจัดเต็ม</t>
  </si>
  <si>
    <t xml:space="preserve">2026/1666</t>
  </si>
  <si>
    <t xml:space="preserve">16 - 22 Sep 2026</t>
  </si>
  <si>
    <t xml:space="preserve">https://www.facebook.com/share/p/14quGAJ2gX4/?mibextid=wwXIfr</t>
  </si>
  <si>
    <t xml:space="preserve">Grande Pleno Suksawat 64_ทางด่วนก็ใกล้ สาทรก็แค่เอื้อม</t>
  </si>
  <si>
    <t xml:space="preserve">2026/1667</t>
  </si>
  <si>
    <t xml:space="preserve">17 - 20 Sep 2026</t>
  </si>
  <si>
    <t xml:space="preserve">https://www.facebook.com/share/p/19MbkkHMYK/?mibextid=wwXIfr</t>
  </si>
  <si>
    <t xml:space="preserve">Aspire Vibha-Victory</t>
  </si>
  <si>
    <t xml:space="preserve">Aspire Vibha-Victory_X</t>
  </si>
  <si>
    <t xml:space="preserve">2026/1668</t>
  </si>
  <si>
    <t xml:space="preserve">18 - 22 Sep 2026</t>
  </si>
  <si>
    <t xml:space="preserve">https://x.com/AP_Inspire/status/2100057087648903471</t>
  </si>
  <si>
    <t xml:space="preserve">Pleno Rama 3 - Suksawat 30_WARNING ดีลเดือดทะลุพิกัด 7 วัน จัดเต็ม</t>
  </si>
  <si>
    <t xml:space="preserve">2026/1669</t>
  </si>
  <si>
    <t xml:space="preserve">18 - 20 Sep 2026</t>
  </si>
  <si>
    <t xml:space="preserve">https://www.facebook.com/share/p/1Lg5meJuYS/?mibextid=wwXIfr</t>
  </si>
  <si>
    <t xml:space="preserve">Event บ้านกลางเมือง_19-20 ก.ย</t>
  </si>
  <si>
    <t xml:space="preserve">2026/1670</t>
  </si>
  <si>
    <t xml:space="preserve">18 - 21 Sep 2026</t>
  </si>
  <si>
    <t xml:space="preserve">https://www.facebook.com/share/p/1GbG2rVyss/?mibextid=wwXIfr</t>
  </si>
  <si>
    <t xml:space="preserve">Pleno ทาวน์โฮม ทำเลคลอง 1-7 ลำลูกกา-ธัญญ-คลองหลวง_19-20 ก.ย ปทุมnative</t>
  </si>
  <si>
    <t xml:space="preserve">2026/1671</t>
  </si>
  <si>
    <t xml:space="preserve">https://www.facebook.com/share/p/1ESLdkZ3VN/?mibextid=wwXIfr</t>
  </si>
  <si>
    <t xml:space="preserve">2026/1672</t>
  </si>
  <si>
    <t xml:space="preserve">21 Sep - 1 Oct 2026</t>
  </si>
  <si>
    <t xml:space="preserve">https://www.facebook.com/APthai/posts/pfbid0YaK13Bzk69mYpXA1KMy3TFziVrn5iVd11VfwSEAHY3jbNBYE7yCBohJWMvREtghnl?locale=th_TH</t>
  </si>
  <si>
    <t xml:space="preserve">PN East Zone รามอินทรา 21-30 ก.ย_Grande Pleno Ramintra - Chatuchot</t>
  </si>
  <si>
    <t xml:space="preserve">2026/1673</t>
  </si>
  <si>
    <t xml:space="preserve">21 - 30 Sep 2026</t>
  </si>
  <si>
    <t xml:space="preserve">https://www.facebook.com/share/p/19H8RPfgsR/?mibextid=wwXIfr</t>
  </si>
  <si>
    <t xml:space="preserve">PN East Zone รามอินทรา 21-30 ก.ย_Pleno Panya - Ramintra</t>
  </si>
  <si>
    <t xml:space="preserve">2026/1674</t>
  </si>
  <si>
    <t xml:space="preserve">PN East Zone รามอินทรา 21-30 ก.ย_Grande Pleno Ramintra - Bangchan Station</t>
  </si>
  <si>
    <t xml:space="preserve">2026/1675</t>
  </si>
  <si>
    <t xml:space="preserve">PN East Zone รามอินทรา 21-30 ก.ย_Pleno Ramintra - Bangchan Station 2</t>
  </si>
  <si>
    <t xml:space="preserve">2026/1676</t>
  </si>
  <si>
    <t xml:space="preserve">PN East Zone รามอินทรา 21-30 ก.ย_Grande Pleno Ramintra - Wongwaen 2</t>
  </si>
  <si>
    <t xml:space="preserve">2026/1677</t>
  </si>
  <si>
    <t xml:space="preserve">Apitown Chonburi - Bangsaen_21-30 ก.ย</t>
  </si>
  <si>
    <t xml:space="preserve">2026/1678</t>
  </si>
  <si>
    <t xml:space="preserve">https://www.facebook.com/share/p/1C3cYcZEL3/?mibextid=wwXIfr</t>
  </si>
  <si>
    <t xml:space="preserve">2026/1679</t>
  </si>
  <si>
    <t xml:space="preserve">23 Sep - 3 Oct 2026</t>
  </si>
  <si>
    <t xml:space="preserve">https://www.facebook.com/APthai/posts/pfbid022Fhb8ssxoWYtesVLSRtUpCTM3Rh6HPD3DkJysYg1Kve9FtKiHiUXMHZEcAL98JmPl</t>
  </si>
  <si>
    <t xml:space="preserve">Good Day Sukhumvit 93</t>
  </si>
  <si>
    <t xml:space="preserve">Good Day Sukhumvit 93_X</t>
  </si>
  <si>
    <t xml:space="preserve">2026/1680</t>
  </si>
  <si>
    <t xml:space="preserve">25 - 27 Sep 2026</t>
  </si>
  <si>
    <t xml:space="preserve">https://x.com/AP_Inspire/status/2101144255414862124</t>
  </si>
  <si>
    <t xml:space="preserve">BKM The Edition Kaset - Nawamin</t>
  </si>
  <si>
    <t xml:space="preserve">BKM The Edition Kaset - Nawamin_NewProject WHERE LIFE CONNECTS</t>
  </si>
  <si>
    <t xml:space="preserve">2026/1681</t>
  </si>
  <si>
    <t xml:space="preserve">28 Sep - 8 Oct 2026</t>
  </si>
  <si>
    <t xml:space="preserve">https://www.facebook.com/APthai/posts/pfbid02LdA5pkYvrXrwRcCNXa2n6owjaGuGewUUpzk4YirrcrEUaBfqRAwkJuBmiRq5cP9Pl</t>
  </si>
  <si>
    <t xml:space="preserve">โซนสาทร-สุขสวัสดิ์_ครบทุกมิติชีวิตคนเมือง กับบ้านใหม่</t>
  </si>
  <si>
    <t xml:space="preserve">2026/1682</t>
  </si>
  <si>
    <t xml:space="preserve">https://www.facebook.com/APthai/posts/pfbid02qfiuauLYxKgUaxvZQSm3WTJDLJkCWR3Sup69myhekqgMViJxjzS5JuruyCrKXWMel</t>
  </si>
  <si>
    <t xml:space="preserve">Apitown Buriram</t>
  </si>
  <si>
    <t xml:space="preserve">Apitown Buriram_ภาพบรรยากาศงาน VIP DAY</t>
  </si>
  <si>
    <t xml:space="preserve">2026/1683</t>
  </si>
  <si>
    <t xml:space="preserve">28 Sep - 1 Oct 2026</t>
  </si>
  <si>
    <t xml:space="preserve">https://www.facebook.com/APthai/posts/pfbid0kdG1uP4GDL83ctPoDFQ7drkZhtkBRqHrVjtMmiwGobuZFtwLWTCzUiq3SwhKd6pKl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</si>
</sst>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_-* #,##0.00_-;\-* #,##0.00_-;_-* \-??_-;_-@"/>
    <numFmt numFmtId="167" formatCode="#,##0"/>
    <numFmt numFmtId="168" formatCode="d\ mmmm\ yy"/>
    <numFmt numFmtId="169" formatCode="@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9"/>
      <color theme="1"/>
      <name val="Arial"/>
      <family val="0"/>
      <charset val="1"/>
    </font>
    <font>
      <b val="true"/>
      <sz val="9"/>
      <color rgb="FFFFD966"/>
      <name val="Arial"/>
      <family val="0"/>
      <charset val="1"/>
    </font>
    <font>
      <sz val="9"/>
      <color theme="1"/>
      <name val="Arial"/>
      <family val="0"/>
      <charset val="1"/>
    </font>
    <font>
      <sz val="9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u val="single"/>
      <sz val="9"/>
      <color rgb="FF0097A7"/>
      <name val="Arial"/>
      <family val="0"/>
      <charset val="1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CFE2F3"/>
      </patternFill>
    </fill>
    <fill>
      <patternFill patternType="solid">
        <fgColor rgb="FF000000"/>
        <bgColor rgb="FF003300"/>
      </patternFill>
    </fill>
    <fill>
      <patternFill patternType="solid">
        <fgColor rgb="FFD9EAD3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B45F06"/>
        <bgColor rgb="FF808000"/>
      </patternFill>
    </fill>
    <fill>
      <patternFill patternType="solid">
        <fgColor rgb="FF92D050"/>
        <bgColor rgb="FF969696"/>
      </patternFill>
    </fill>
    <fill>
      <patternFill patternType="solid">
        <fgColor rgb="FFCFE2F3"/>
        <bgColor rgb="FFD9D9D9"/>
      </patternFill>
    </fill>
    <fill>
      <patternFill patternType="solid">
        <fgColor rgb="FFFCE5CD"/>
        <bgColor rgb="FFD9EAD3"/>
      </patternFill>
    </fill>
    <fill>
      <patternFill patternType="solid">
        <fgColor rgb="FFD5A6BD"/>
        <bgColor rgb="FFCC99FF"/>
      </patternFill>
    </fill>
  </fills>
  <borders count="1">
    <border diagonalUp="false" diagonalDown="false">
      <left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5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5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7" fillId="7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9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1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dxfs count="1">
    <dxf>
      <fill>
        <patternFill>
          <bgColor rgb="FF92D05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97A7"/>
      <rgbColor rgb="FFD5A6BD"/>
      <rgbColor rgb="FF808080"/>
      <rgbColor rgb="FF9999FF"/>
      <rgbColor rgb="FF993366"/>
      <rgbColor rgb="FFFCE5CD"/>
      <rgbColor rgb="FFD9D9D9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D966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45F06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facebook.com/share/p/1E8utPuGLY/?mibextid=wwXIfr" TargetMode="External"/><Relationship Id="rId3" Type="http://schemas.openxmlformats.org/officeDocument/2006/relationships/hyperlink" Target="https://www.facebook.com/photo/?fbid=1758722329710092&amp;set=a.579268780988792" TargetMode="External"/><Relationship Id="rId4" Type="http://schemas.openxmlformats.org/officeDocument/2006/relationships/hyperlink" Target="https://www.facebook.com/APthaitownhome/posts/pfbid02G8GX6FJbjPz8mw8ezVknaWcf7uqbCAMxAGyTrHg1xWRyJP8vpDs48973F2dy3xWl" TargetMode="External"/><Relationship Id="rId5" Type="http://schemas.openxmlformats.org/officeDocument/2006/relationships/hyperlink" Target="https://www.facebook.com/APthaitownhome/posts/pfbid02q7P83gYjmocq1tpYnwcEWC53zYu8wiADPmYDBp9YRwBdtXfafnbExxQ2A5CP7ePPl" TargetMode="External"/><Relationship Id="rId6" Type="http://schemas.openxmlformats.org/officeDocument/2006/relationships/hyperlink" Target="https://www.facebook.com/photo/?fbid=1758896209692704&amp;set=a.579268780988792" TargetMode="External"/><Relationship Id="rId7" Type="http://schemas.openxmlformats.org/officeDocument/2006/relationships/hyperlink" Target="https://www.facebook.com/APthaitownhome/posts/pfbid0HME6w4wPdBQutvffnWihkCgMXKhUgDV9UuUv7FbazQQNJ5PBcwbYCgXabj7SM6MWl" TargetMode="External"/><Relationship Id="rId8" Type="http://schemas.openxmlformats.org/officeDocument/2006/relationships/hyperlink" Target="https://www.facebook.com/APthaitownhome/posts/pfbid02hmTmg3SbHvsovVp5R4FgCFnLgoJpKhw7eyBdVFtfrRe6waFsWPZ47z6KdAZNvMBil" TargetMode="External"/><Relationship Id="rId9" Type="http://schemas.openxmlformats.org/officeDocument/2006/relationships/hyperlink" Target="https://www.facebook.com/share/p/1DD4skekah/?mibextid=wwXIfr" TargetMode="External"/><Relationship Id="rId10" Type="http://schemas.openxmlformats.org/officeDocument/2006/relationships/hyperlink" Target="https://www.facebook.com/share/p/1DZCrLjGA5/?mibextid=wwXIfr" TargetMode="External"/><Relationship Id="rId11" Type="http://schemas.openxmlformats.org/officeDocument/2006/relationships/hyperlink" Target="https://www.facebook.com/share/p/1HQ2ysL42J/?mibextid=wwXIfr" TargetMode="External"/><Relationship Id="rId12" Type="http://schemas.openxmlformats.org/officeDocument/2006/relationships/hyperlink" Target="https://www.facebook.com/share/p/1LhrzK1sZe/?mibextid=wwXIfr" TargetMode="External"/><Relationship Id="rId13" Type="http://schemas.openxmlformats.org/officeDocument/2006/relationships/hyperlink" Target="https://www.facebook.com/photo/?fbid=1743182144508082&amp;set=a.637946355031672" TargetMode="External"/><Relationship Id="rId14" Type="http://schemas.openxmlformats.org/officeDocument/2006/relationships/hyperlink" Target="https://www.facebook.com/APthaitownhome/posts/pfbid0a8BSeLnqzEC2qjMEtEgKthbKfpfobS37x5Sxw54eQfaZHSfHb7DeuUr5F8ob1UEul" TargetMode="External"/><Relationship Id="rId15" Type="http://schemas.openxmlformats.org/officeDocument/2006/relationships/hyperlink" Target="https://www.facebook.com/APthaitownhome/posts/pfbid0vzfb5wuusqJRQ6aYif9CXXD2kr9qADLdnRG2NKFYwmNAQfmQzcC8aC7yL4vYw2TLl" TargetMode="External"/><Relationship Id="rId16" Type="http://schemas.openxmlformats.org/officeDocument/2006/relationships/hyperlink" Target="https://www.facebook.com/photo?fbid=1760887579493567&amp;set=a.579268780988792" TargetMode="External"/><Relationship Id="rId17" Type="http://schemas.openxmlformats.org/officeDocument/2006/relationships/hyperlink" Target="https://www.facebook.com/photo?fbid=1760920469490278&amp;set=a.579268780988792" TargetMode="External"/><Relationship Id="rId18" Type="http://schemas.openxmlformats.org/officeDocument/2006/relationships/hyperlink" Target="https://www.facebook.com/APthaitownhome/posts/pfbid028dUVzznES8kpyFKvsn1jDUYGWcLhSDKE8ok48VxeUY3wWqJN9ewUkyKnBetGJ1hVl" TargetMode="External"/><Relationship Id="rId19" Type="http://schemas.openxmlformats.org/officeDocument/2006/relationships/hyperlink" Target="https://www.facebook.com/photo/?fbid=1761015926147399&amp;set=a.579268780988792" TargetMode="External"/><Relationship Id="rId20" Type="http://schemas.openxmlformats.org/officeDocument/2006/relationships/hyperlink" Target="https://www.facebook.com/photo?fbid=1744047091088254&amp;set=a.637946355031672" TargetMode="External"/><Relationship Id="rId21" Type="http://schemas.openxmlformats.org/officeDocument/2006/relationships/hyperlink" Target="https://www.facebook.com/APthai/posts/pfbid0FyBF5TGzVRdxQXLZJASqYKJF4QkGiroh8mPWrcU9KAnpqdP8Zabd3NQvvWTtiXmsl" TargetMode="External"/><Relationship Id="rId22" Type="http://schemas.openxmlformats.org/officeDocument/2006/relationships/hyperlink" Target="https://www.facebook.com/APthaitownhome/posts/pfbid02xnCMx69CNtnYL2Y3jgdesx55tKyE6JoWW2tTti5ccNiSj21eBkjo5ssUAL1MdeLrl" TargetMode="External"/><Relationship Id="rId23" Type="http://schemas.openxmlformats.org/officeDocument/2006/relationships/hyperlink" Target="https://www.facebook.com/photo?fbid=1761676689414656&amp;set=a.579268780988792" TargetMode="External"/><Relationship Id="rId24" Type="http://schemas.openxmlformats.org/officeDocument/2006/relationships/hyperlink" Target="https://www.facebook.com/photo?fbid=1761748706074121&amp;set=a.579268780988792" TargetMode="External"/><Relationship Id="rId25" Type="http://schemas.openxmlformats.org/officeDocument/2006/relationships/hyperlink" Target="https://www.facebook.com/photo/?fbid=1761859069396418&amp;set=a.579268780988792" TargetMode="External"/><Relationship Id="rId26" Type="http://schemas.openxmlformats.org/officeDocument/2006/relationships/hyperlink" Target="https://www.facebook.com/APthaitownhome/posts/pfbid0QUomMWgJibvtwrZnfT3z5sSJ41DE7ij1wF49nH9Dhp3w9LKCGuVFF7NfGcky4wDdl" TargetMode="External"/><Relationship Id="rId27" Type="http://schemas.openxmlformats.org/officeDocument/2006/relationships/hyperlink" Target="https://www.facebook.com/APthaitownhome/posts/pfbid025eNqh1AYoseNFDwqfKEKgEKhEitgqgs92ZiZfaN4LiEeLfzmKG5fdkmXKctsgbgtl" TargetMode="External"/><Relationship Id="rId28" Type="http://schemas.openxmlformats.org/officeDocument/2006/relationships/hyperlink" Target="https://www.facebook.com/photo?fbid=1762147449367580&amp;set=a.579268780988792" TargetMode="External"/><Relationship Id="rId29" Type="http://schemas.openxmlformats.org/officeDocument/2006/relationships/hyperlink" Target="https://www.facebook.com/APthaitownhome/posts/pfbid02pfHMJBj1FXfaCqn1XztnMjtU1DqZWMguouuZYjDqgGLaeFPU8fZ8pbGtwn4bHYQRl" TargetMode="External"/><Relationship Id="rId30" Type="http://schemas.openxmlformats.org/officeDocument/2006/relationships/hyperlink" Target="https://www.facebook.com/photo?fbid=1763098099272515&amp;set=a.579268780988792" TargetMode="External"/><Relationship Id="rId31" Type="http://schemas.openxmlformats.org/officeDocument/2006/relationships/hyperlink" Target="https://www.facebook.com/photo?fbid=1763209015928090&amp;set=a.579268780988792" TargetMode="External"/><Relationship Id="rId32" Type="http://schemas.openxmlformats.org/officeDocument/2006/relationships/hyperlink" Target="https://www.facebook.com/photo?fbid=1763279369254388&amp;set=a.579268780988792" TargetMode="External"/><Relationship Id="rId33" Type="http://schemas.openxmlformats.org/officeDocument/2006/relationships/hyperlink" Target="https://www.facebook.com/APthaitownhome/posts/pfbid02NQ2CF5bosR5oCbL3ELs8GCo9hZ33CZKyUTyG5FkyfD2jGKadZmZopQsXTc7HHz65l" TargetMode="External"/><Relationship Id="rId34" Type="http://schemas.openxmlformats.org/officeDocument/2006/relationships/hyperlink" Target="https://www.facebook.com/APthaitownhome/posts/pfbid02NQ2CF5bosR5oCbL3ELs8GCo9hZ33CZKyUTyG5FkyfD2jGKadZmZopQsXTc7HHz65l" TargetMode="External"/><Relationship Id="rId35" Type="http://schemas.openxmlformats.org/officeDocument/2006/relationships/hyperlink" Target="https://www.facebook.com/APthaitownhome/posts/pfbid08oJm6doccmbcuiLtKqZ6iPbsWvc8CZ8o2jnJGF7oowpAympEPJNEc7TxkV5JbCQFl" TargetMode="External"/><Relationship Id="rId36" Type="http://schemas.openxmlformats.org/officeDocument/2006/relationships/hyperlink" Target="https://www.facebook.com/APthai/posts/pfbid0kiP2iKcrLZU2BtmJNVKg3d4HeyXUhG3Fe29nqeEUyE95FuoGP5tg5JkucuiC1f53l" TargetMode="External"/><Relationship Id="rId37" Type="http://schemas.openxmlformats.org/officeDocument/2006/relationships/hyperlink" Target="https://www.facebook.com/APthai/posts/pfbid0kiP2iKcrLZU2BtmJNVKg3d4HeyXUhG3Fe29nqeEUyE95FuoGP5tg5JkucuiC1f53l" TargetMode="External"/><Relationship Id="rId38" Type="http://schemas.openxmlformats.org/officeDocument/2006/relationships/hyperlink" Target="https://www.facebook.com/APthai/posts/pfbid034psXso9vjSh6CyAcgbPddxsTLDNx2ZnRP6d6sZdu1AoBnFSWCfWymCBTzmc5kFozl" TargetMode="External"/><Relationship Id="rId39" Type="http://schemas.openxmlformats.org/officeDocument/2006/relationships/hyperlink" Target="https://www.facebook.com/APthaitownhome/posts/pfbid0hcjKSAih1bQxFuVBYBJt1BR93ebemnBPHkAjMZYswiwbdBCAWFb9Rr85DPdGUYyNl" TargetMode="External"/><Relationship Id="rId40" Type="http://schemas.openxmlformats.org/officeDocument/2006/relationships/hyperlink" Target="https://www.facebook.com/APthaitownhome/posts/pfbid0bvojyufYQLsEKWRzzWFYimjTLx52X1qKxGu8RGbwosD59sFywYcCwQ1He1ZMuLdzl" TargetMode="External"/><Relationship Id="rId41" Type="http://schemas.openxmlformats.org/officeDocument/2006/relationships/hyperlink" Target="https://www.facebook.com/APthaitownhome/posts/pfbid0314TBhhKmqExwqx8uNa7qviDuwki2VipN7AKXCoCmu5rqc1iwDgfDpueFuiKznwRil?locale=th_TH" TargetMode="External"/><Relationship Id="rId42" Type="http://schemas.openxmlformats.org/officeDocument/2006/relationships/hyperlink" Target="https://www.facebook.com/APthaitownhome/posts/pfbid02FrdHFUvxPfi2PdQRn3YcXVyXH81bqXn5em1m34kxNmZVod7Q3cG6qhbJautqXXgol?locale=th_TH" TargetMode="External"/><Relationship Id="rId43" Type="http://schemas.openxmlformats.org/officeDocument/2006/relationships/hyperlink" Target="https://www.facebook.com/APthaitownhome/posts/pfbid029gk9oLfW8ChFmPQfPCRP4r61rggPxc58Vm3DV3nJdMJ4tof75nSHjuFiKZVg7QiPl?locale=th_TH" TargetMode="External"/><Relationship Id="rId44" Type="http://schemas.openxmlformats.org/officeDocument/2006/relationships/hyperlink" Target="https://www.facebook.com/APthaitownhome/posts/pfbid02HY3MH2Wpf8rNwEXKyk91waT5VajkN3wfgUiwixrc477CqMnNJJG1S6THG4EXa2Xjl?locale=th_TH" TargetMode="External"/><Relationship Id="rId45" Type="http://schemas.openxmlformats.org/officeDocument/2006/relationships/hyperlink" Target="https://x.com/AP_Inspire/status/2096070815712432617" TargetMode="External"/><Relationship Id="rId46" Type="http://schemas.openxmlformats.org/officeDocument/2006/relationships/hyperlink" Target="https://x.com/AP_Inspire/status/2096433213011087471" TargetMode="External"/><Relationship Id="rId47" Type="http://schemas.openxmlformats.org/officeDocument/2006/relationships/hyperlink" Target="https://www.facebook.com/photo?fbid=1767687688813556&amp;set=a.579268780988792" TargetMode="External"/><Relationship Id="rId48" Type="http://schemas.openxmlformats.org/officeDocument/2006/relationships/hyperlink" Target="https://www.facebook.com/APthaitownhome/posts/pfbid0JBW5vEZtCcTj3kCnW4ZxPSKExbpYEfSn71JrNFbYLHcccSh9xqQzmeNQezAr8nnel" TargetMode="External"/><Relationship Id="rId49" Type="http://schemas.openxmlformats.org/officeDocument/2006/relationships/hyperlink" Target="https://www.facebook.com/APthaitownhome/posts/pfbid02cm5SajdxzRmbJEs3bwLRv5yFRHPWrtgDYwEwUVJybpWnnBevTWhm6muXhxqMvhwTl" TargetMode="External"/><Relationship Id="rId50" Type="http://schemas.openxmlformats.org/officeDocument/2006/relationships/hyperlink" Target="https://www.facebook.com/reel/1405784174989879" TargetMode="External"/><Relationship Id="rId51" Type="http://schemas.openxmlformats.org/officeDocument/2006/relationships/hyperlink" Target="https://www.facebook.com/photo?fbid=1768170062098652&amp;set=a.579268780988792" TargetMode="External"/><Relationship Id="rId52" Type="http://schemas.openxmlformats.org/officeDocument/2006/relationships/hyperlink" Target="https://www.facebook.com/APthaitownhome/posts/pfbid029zyxjBhsAKUPQ6egwBNnqDDk7zxTczrqH6KPTpYjfQaHAZTjESECYhKB3BmYisgJl" TargetMode="External"/><Relationship Id="rId53" Type="http://schemas.openxmlformats.org/officeDocument/2006/relationships/hyperlink" Target="https://www.facebook.com/APthaitownhome/posts/pfbid0L6Ex5jsMZmVnAgkZ2DaWwHqApEt78sER3aZwmuK4u7z8PGxt6NfcwngWpw5rj5Cpl" TargetMode="External"/><Relationship Id="rId54" Type="http://schemas.openxmlformats.org/officeDocument/2006/relationships/hyperlink" Target="https://www.facebook.com/photo/?fbid=1749081953918101&amp;set=a.637946355031672" TargetMode="External"/><Relationship Id="rId55" Type="http://schemas.openxmlformats.org/officeDocument/2006/relationships/hyperlink" Target="https://www.facebook.com/APthaitownhome/posts/pfbid02eZGELr1rpHK8DaJNBfc2F6a3YcPZdj2YLFS63BejsiFas1x2RCj7MeMnMbDqjxm2l" TargetMode="External"/><Relationship Id="rId56" Type="http://schemas.openxmlformats.org/officeDocument/2006/relationships/hyperlink" Target="https://www.facebook.com/photo/?fbid=1769266488655676&amp;set=a.579268780988792" TargetMode="External"/><Relationship Id="rId57" Type="http://schemas.openxmlformats.org/officeDocument/2006/relationships/hyperlink" Target="https://www.facebook.com/APthaitownhome/posts/pfbid0yCnqjaYcndaEq5UJPDwkM9oXkczSpYKM9AyVxAnZiZB8LAXbBau4MLdyi9WjqrVl" TargetMode="External"/><Relationship Id="rId58" Type="http://schemas.openxmlformats.org/officeDocument/2006/relationships/hyperlink" Target="https://www.facebook.com/APthaitownhome/posts/pfbid0ib5qGT5hZqw4zPZHGazNAzU7ciBRxCTPiB7xz8fWMmZqgSEWNrbNtQTdD325Cjx4l" TargetMode="External"/><Relationship Id="rId59" Type="http://schemas.openxmlformats.org/officeDocument/2006/relationships/hyperlink" Target="https://www.facebook.com/photo?fbid=1769114865337505&amp;set=a.579268780988792" TargetMode="External"/><Relationship Id="rId60" Type="http://schemas.openxmlformats.org/officeDocument/2006/relationships/hyperlink" Target="https://www.facebook.com/photo?fbid=1769179281997730&amp;set=a.579268780988792" TargetMode="External"/><Relationship Id="rId61" Type="http://schemas.openxmlformats.org/officeDocument/2006/relationships/hyperlink" Target="https://www.facebook.com/APthaitownhome/posts/pfbid0S98juP7S6YzB1b4FLDpdaidqG9tTQNyWWeWngSxyXUPz5LuiudkTcKQGYVKEEbnLl" TargetMode="External"/><Relationship Id="rId62" Type="http://schemas.openxmlformats.org/officeDocument/2006/relationships/hyperlink" Target="https://www.facebook.com/APthaitownhome/posts/pfbid0aQ8UtHNwvmbxFkwh1QktQAtu2uTkxY2yPgKypuFiJ7BqpDYjAUp8sS2qxfJpvpZql" TargetMode="External"/><Relationship Id="rId63" Type="http://schemas.openxmlformats.org/officeDocument/2006/relationships/hyperlink" Target="https://x.com/AP_Inspire/status/2097520377786487269" TargetMode="External"/><Relationship Id="rId64" Type="http://schemas.openxmlformats.org/officeDocument/2006/relationships/hyperlink" Target="https://x.com/AP_Inspire/status/2098012629428215963" TargetMode="External"/><Relationship Id="rId65" Type="http://schemas.openxmlformats.org/officeDocument/2006/relationships/hyperlink" Target="https://www.facebook.com/photo/?fbid=1750186410474322&amp;set=a.637946355031672" TargetMode="External"/><Relationship Id="rId66" Type="http://schemas.openxmlformats.org/officeDocument/2006/relationships/hyperlink" Target="https://www.facebook.com/APthai/posts/pfbid02kDLCbNA9ABbYTu9anaWJG2CHMzHJQ8ieueqeTRYq9Dmu1ixqgZXncwpbXmMK3XWWl?locale=th_TH" TargetMode="External"/><Relationship Id="rId67" Type="http://schemas.openxmlformats.org/officeDocument/2006/relationships/hyperlink" Target="https://www.facebook.com/APthaitownhome/posts/pfbid0d5khP5snrQBij6jBN4CvibC7JDc5rcW6hqyCZ8G9VcVQTNscsC6ZXpCQWyPjP2ENl?locale=th_TH" TargetMode="External"/><Relationship Id="rId68" Type="http://schemas.openxmlformats.org/officeDocument/2006/relationships/hyperlink" Target="https://www.facebook.com/APthaitownhome/posts/pfbid0zHExzigYSGXWKCfp2N1FREbdaA4URYqRb9YRXWTPCEYuBNC1hkoPw4Uvg3LnFE91l?locale=th_TH" TargetMode="External"/><Relationship Id="rId69" Type="http://schemas.openxmlformats.org/officeDocument/2006/relationships/hyperlink" Target="https://www.facebook.com/photo?fbid=1770379491877709&amp;set=a.579268780988792" TargetMode="External"/><Relationship Id="rId70" Type="http://schemas.openxmlformats.org/officeDocument/2006/relationships/hyperlink" Target="https://www.facebook.com/APthaitownhome/posts/pfbid02ksmrmwTunSnmdGrSkEk1a4geEUb7mu4vXYF1JkurjaQjbj4yLdtwPhuBqMW3tekYl?locale=th_TH" TargetMode="External"/><Relationship Id="rId71" Type="http://schemas.openxmlformats.org/officeDocument/2006/relationships/hyperlink" Target="https://www.facebook.com/reel/1795179221663117?locale=th_TH" TargetMode="External"/><Relationship Id="rId72" Type="http://schemas.openxmlformats.org/officeDocument/2006/relationships/hyperlink" Target="https://www.facebook.com/reel/1356559666692989?locale=th_TH" TargetMode="External"/><Relationship Id="rId73" Type="http://schemas.openxmlformats.org/officeDocument/2006/relationships/hyperlink" Target="https://www.facebook.com/reel/3206000509591855" TargetMode="External"/><Relationship Id="rId74" Type="http://schemas.openxmlformats.org/officeDocument/2006/relationships/hyperlink" Target="https://www.facebook.com/APthai/posts/pfbid02X8735MoLVPCnvybuUFwSdSmpNWC36wJfR15pxwNS5eKSgEBzKvZ1vGXwq3eB41BVl?locale=th_TH" TargetMode="External"/><Relationship Id="rId75" Type="http://schemas.openxmlformats.org/officeDocument/2006/relationships/hyperlink" Target="https://www.facebook.com/APthai/posts/pfbid0sNLGTfcHkf5VkGnbL3kLjwyADjnQCcY9hb2PHKWVefK14yAb8NdHkYDmxRaPQPXRl?locale=th_TH" TargetMode="External"/><Relationship Id="rId76" Type="http://schemas.openxmlformats.org/officeDocument/2006/relationships/hyperlink" Target="https://www.facebook.com/APthai/posts/pfbid027UXxzpShFprJJCoo3S8GWzMx54UMPLfTZFXmoejL8t8THZZePq4Pm7KSiMcYaCfLl?locale=th_TH" TargetMode="External"/><Relationship Id="rId77" Type="http://schemas.openxmlformats.org/officeDocument/2006/relationships/hyperlink" Target="https://x.com/AP_Inspire/status/2098245155434402159" TargetMode="External"/><Relationship Id="rId78" Type="http://schemas.openxmlformats.org/officeDocument/2006/relationships/hyperlink" Target="https://x.com/AP_Inspire/status/2098969920935792832" TargetMode="External"/><Relationship Id="rId79" Type="http://schemas.openxmlformats.org/officeDocument/2006/relationships/hyperlink" Target="https://x.com/AP_Inspire/status/2099407901140136264" TargetMode="External"/><Relationship Id="rId80" Type="http://schemas.openxmlformats.org/officeDocument/2006/relationships/hyperlink" Target="https://www.facebook.com/APthaitownhome/posts/pfbid0ZbAt25QG5rco8trEFB5ow97wRC5vXwbJvpoUp4q7CgctK9iV6fpYTAs9V9MpVa5il?locale=th_TH" TargetMode="External"/><Relationship Id="rId81" Type="http://schemas.openxmlformats.org/officeDocument/2006/relationships/hyperlink" Target="https://www.facebook.com/APthaitownhome/posts/pfbid0Z6LgPonrqSjRkVqGDHUP2LAv6fVSV6Ki1g6kpm6wWaY8SepuuSSfqjc3oE9jtSQxl" TargetMode="External"/><Relationship Id="rId82" Type="http://schemas.openxmlformats.org/officeDocument/2006/relationships/hyperlink" Target="https://www.facebook.com/APthaitownhome/posts/pfbid024JBtFx6E1T5oGLoz9LA6DCbqs4orsgPib2BgawinVrgJ931hfe3sdN91uFWAM7Cal?locale=th_TH" TargetMode="External"/><Relationship Id="rId83" Type="http://schemas.openxmlformats.org/officeDocument/2006/relationships/hyperlink" Target="https://www.facebook.com/APthaitownhome/posts/pfbid0EeQdd31jm7q3HULhK2BbP5qgtp8qxLKMg1ELphzhHEqgTTGwzSUks9uQN5rRytWGl?locale=th_TH" TargetMode="External"/><Relationship Id="rId84" Type="http://schemas.openxmlformats.org/officeDocument/2006/relationships/hyperlink" Target="https://www.facebook.com/APthaitownhome/posts/pfbid0BfCcVc1BNBUMAv6EwkhA33P9Hzt3TByR9i5kEiTGNvfwDy89J3Jsnf8GfouCbhEbl?locale=th_TH" TargetMode="External"/><Relationship Id="rId85" Type="http://schemas.openxmlformats.org/officeDocument/2006/relationships/hyperlink" Target="https://www.facebook.com/APthai/posts/pfbid024SAJdypscyG9zFNfRtVk9eVGoJP36BF1xVxxWLKZsRp5dKvLzB75pKCk2fHtRh28l" TargetMode="External"/><Relationship Id="rId86" Type="http://schemas.openxmlformats.org/officeDocument/2006/relationships/hyperlink" Target="https://www.facebook.com/photo?fbid=1773864511529207&amp;set=a.579268780988792" TargetMode="External"/><Relationship Id="rId87" Type="http://schemas.openxmlformats.org/officeDocument/2006/relationships/hyperlink" Target="https://www.facebook.com/share/p/14quGAJ2gX4/?mibextid=wwXIfr" TargetMode="External"/><Relationship Id="rId88" Type="http://schemas.openxmlformats.org/officeDocument/2006/relationships/hyperlink" Target="https://www.facebook.com/share/p/19MbkkHMYK/?mibextid=wwXIfr" TargetMode="External"/><Relationship Id="rId89" Type="http://schemas.openxmlformats.org/officeDocument/2006/relationships/hyperlink" Target="https://x.com/AP_Inspire/status/2100057087648903471" TargetMode="External"/><Relationship Id="rId90" Type="http://schemas.openxmlformats.org/officeDocument/2006/relationships/hyperlink" Target="https://www.facebook.com/share/p/1Lg5meJuYS/?mibextid=wwXIfr" TargetMode="External"/><Relationship Id="rId91" Type="http://schemas.openxmlformats.org/officeDocument/2006/relationships/hyperlink" Target="https://www.facebook.com/share/p/1GbG2rVyss/?mibextid=wwXIfr" TargetMode="External"/><Relationship Id="rId92" Type="http://schemas.openxmlformats.org/officeDocument/2006/relationships/hyperlink" Target="https://www.facebook.com/share/p/1ESLdkZ3VN/?mibextid=wwXIfr" TargetMode="External"/><Relationship Id="rId93" Type="http://schemas.openxmlformats.org/officeDocument/2006/relationships/hyperlink" Target="https://www.facebook.com/APthai/posts/pfbid0YaK13Bzk69mYpXA1KMy3TFziVrn5iVd11VfwSEAHY3jbNBYE7yCBohJWMvREtghnl?locale=th_TH" TargetMode="External"/><Relationship Id="rId94" Type="http://schemas.openxmlformats.org/officeDocument/2006/relationships/hyperlink" Target="https://www.facebook.com/share/p/19H8RPfgsR/?mibextid=wwXIfr" TargetMode="External"/><Relationship Id="rId95" Type="http://schemas.openxmlformats.org/officeDocument/2006/relationships/hyperlink" Target="https://www.facebook.com/share/p/19H8RPfgsR/?mibextid=wwXIfr" TargetMode="External"/><Relationship Id="rId96" Type="http://schemas.openxmlformats.org/officeDocument/2006/relationships/hyperlink" Target="https://www.facebook.com/share/p/19H8RPfgsR/?mibextid=wwXIfr" TargetMode="External"/><Relationship Id="rId97" Type="http://schemas.openxmlformats.org/officeDocument/2006/relationships/hyperlink" Target="https://www.facebook.com/share/p/19H8RPfgsR/?mibextid=wwXIfr" TargetMode="External"/><Relationship Id="rId98" Type="http://schemas.openxmlformats.org/officeDocument/2006/relationships/hyperlink" Target="https://www.facebook.com/share/p/19H8RPfgsR/?mibextid=wwXIfr" TargetMode="External"/><Relationship Id="rId99" Type="http://schemas.openxmlformats.org/officeDocument/2006/relationships/hyperlink" Target="https://www.facebook.com/share/p/1C3cYcZEL3/?mibextid=wwXIfr" TargetMode="External"/><Relationship Id="rId100" Type="http://schemas.openxmlformats.org/officeDocument/2006/relationships/hyperlink" Target="https://www.facebook.com/APthai/posts/pfbid022Fhb8ssxoWYtesVLSRtUpCTM3Rh6HPD3DkJysYg1Kve9FtKiHiUXMHZEcAL98JmPl" TargetMode="External"/><Relationship Id="rId101" Type="http://schemas.openxmlformats.org/officeDocument/2006/relationships/hyperlink" Target="https://x.com/AP_Inspire/status/2101144255414862124" TargetMode="External"/><Relationship Id="rId102" Type="http://schemas.openxmlformats.org/officeDocument/2006/relationships/hyperlink" Target="https://www.facebook.com/APthai/posts/pfbid02LdA5pkYvrXrwRcCNXa2n6owjaGuGewUUpzk4YirrcrEUaBfqRAwkJuBmiRq5cP9Pl" TargetMode="External"/><Relationship Id="rId103" Type="http://schemas.openxmlformats.org/officeDocument/2006/relationships/hyperlink" Target="https://www.facebook.com/APthai/posts/pfbid02qfiuauLYxKgUaxvZQSm3WTJDLJkCWR3Sup69myhekqgMViJxjzS5JuruyCrKXWMel" TargetMode="External"/><Relationship Id="rId104" Type="http://schemas.openxmlformats.org/officeDocument/2006/relationships/hyperlink" Target="https://www.facebook.com/APthai/posts/pfbid0kdG1uP4GDL83ctPoDFQ7drkZhtkBRqHrVjtMmiwGobuZFtwLWTCzUiq3SwhKd6pKl" TargetMode="External"/><Relationship Id="rId105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S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I35" activePane="bottomRight" state="frozen"/>
      <selection pane="topLeft" activeCell="A1" activeCellId="0" sqref="A1"/>
      <selection pane="topRight" activeCell="I1" activeCellId="0" sqref="I1"/>
      <selection pane="bottomLeft" activeCell="A35" activeCellId="0" sqref="A35"/>
      <selection pane="bottomRight" activeCell="C58" activeCellId="0" sqref="C58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6.75"/>
    <col collapsed="false" customWidth="true" hidden="false" outlineLevel="0" max="2" min="2" style="1" width="18.36"/>
    <col collapsed="false" customWidth="true" hidden="false" outlineLevel="0" max="3" min="3" style="1" width="34.51"/>
    <col collapsed="false" customWidth="true" hidden="false" outlineLevel="0" max="4" min="4" style="1" width="37.38"/>
    <col collapsed="false" customWidth="true" hidden="false" outlineLevel="0" max="5" min="5" style="1" width="12.25"/>
    <col collapsed="false" customWidth="true" hidden="false" outlineLevel="0" max="6" min="6" style="1" width="11.75"/>
    <col collapsed="false" customWidth="false" hidden="true" outlineLevel="0" max="8" min="8" style="1" width="12.63"/>
    <col collapsed="false" customWidth="true" hidden="false" outlineLevel="0" max="9" min="9" style="1" width="11.75"/>
    <col collapsed="false" customWidth="false" hidden="true" outlineLevel="0" max="10" min="10" style="1" width="12.63"/>
    <col collapsed="false" customWidth="true" hidden="false" outlineLevel="0" max="11" min="11" style="1" width="15.38"/>
    <col collapsed="false" customWidth="true" hidden="false" outlineLevel="0" max="18" min="18" style="1" width="10.13"/>
    <col collapsed="false" customWidth="true" hidden="false" outlineLevel="0" max="19" min="19" style="1" width="49.25"/>
    <col collapsed="false" customWidth="true" hidden="false" outlineLevel="0" max="20" min="20" style="1" width="14.38"/>
    <col collapsed="false" customWidth="true" hidden="false" outlineLevel="0" max="21" min="21" style="1" width="19.75"/>
    <col collapsed="false" customWidth="true" hidden="false" outlineLevel="0" max="22" min="22" style="1" width="86.13"/>
  </cols>
  <sheetData>
    <row r="1" customFormat="false" ht="15" hidden="false" customHeight="tru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6" t="s">
        <v>12</v>
      </c>
      <c r="N1" s="6" t="s">
        <v>13</v>
      </c>
      <c r="O1" s="7" t="s">
        <v>14</v>
      </c>
      <c r="P1" s="8" t="s">
        <v>15</v>
      </c>
      <c r="Q1" s="8" t="s">
        <v>16</v>
      </c>
      <c r="R1" s="3" t="s">
        <v>17</v>
      </c>
      <c r="S1" s="3" t="s">
        <v>18</v>
      </c>
      <c r="T1" s="5"/>
      <c r="U1" s="2"/>
      <c r="V1" s="9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</row>
    <row r="2" customFormat="false" ht="15.75" hidden="false" customHeight="false" outlineLevel="0" collapsed="false">
      <c r="A2" s="11" t="n">
        <v>1</v>
      </c>
      <c r="B2" s="12" t="n">
        <v>46266</v>
      </c>
      <c r="C2" s="13" t="s">
        <v>19</v>
      </c>
      <c r="D2" s="14" t="s">
        <v>20</v>
      </c>
      <c r="E2" s="13"/>
      <c r="F2" s="15" t="s">
        <v>21</v>
      </c>
      <c r="G2" s="16" t="s">
        <v>22</v>
      </c>
      <c r="H2" s="13" t="s">
        <v>23</v>
      </c>
      <c r="I2" s="17" t="s">
        <v>24</v>
      </c>
      <c r="J2" s="13" t="s">
        <v>25</v>
      </c>
      <c r="K2" s="16" t="s">
        <v>26</v>
      </c>
      <c r="L2" s="18" t="n">
        <v>10000</v>
      </c>
      <c r="M2" s="19" t="n">
        <f aca="false">L2/(100%+7%)</f>
        <v>9345.79439252336</v>
      </c>
      <c r="N2" s="20" t="n">
        <f aca="false">M2/(100%+11.5%)</f>
        <v>8381.87837894472</v>
      </c>
      <c r="O2" s="19" t="n">
        <f aca="false">N2*11.5%</f>
        <v>963.916013578643</v>
      </c>
      <c r="P2" s="21"/>
      <c r="Q2" s="22" t="s">
        <v>27</v>
      </c>
      <c r="R2" s="21"/>
      <c r="S2" s="23" t="s">
        <v>28</v>
      </c>
      <c r="T2" s="24"/>
      <c r="U2" s="16"/>
      <c r="V2" s="13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</row>
    <row r="3" customFormat="false" ht="15.75" hidden="false" customHeight="false" outlineLevel="0" collapsed="false">
      <c r="A3" s="11" t="n">
        <v>2</v>
      </c>
      <c r="B3" s="12" t="n">
        <v>46266</v>
      </c>
      <c r="C3" s="13" t="s">
        <v>29</v>
      </c>
      <c r="D3" s="14" t="s">
        <v>30</v>
      </c>
      <c r="E3" s="13"/>
      <c r="F3" s="15" t="s">
        <v>31</v>
      </c>
      <c r="G3" s="16" t="s">
        <v>22</v>
      </c>
      <c r="H3" s="13" t="s">
        <v>23</v>
      </c>
      <c r="I3" s="17" t="s">
        <v>24</v>
      </c>
      <c r="J3" s="13" t="s">
        <v>32</v>
      </c>
      <c r="K3" s="16" t="s">
        <v>26</v>
      </c>
      <c r="L3" s="18" t="n">
        <v>10000</v>
      </c>
      <c r="M3" s="19" t="n">
        <f aca="false">L3/(100%+7%)</f>
        <v>9345.79439252336</v>
      </c>
      <c r="N3" s="20" t="n">
        <f aca="false">M3/(100%+11.5%)</f>
        <v>8381.87837894472</v>
      </c>
      <c r="O3" s="19" t="n">
        <f aca="false">N3*11.5%</f>
        <v>963.916013578643</v>
      </c>
      <c r="P3" s="21"/>
      <c r="Q3" s="22" t="s">
        <v>27</v>
      </c>
      <c r="R3" s="21"/>
      <c r="S3" s="23" t="s">
        <v>33</v>
      </c>
      <c r="T3" s="24"/>
      <c r="U3" s="16"/>
      <c r="V3" s="13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</row>
    <row r="4" customFormat="false" ht="15.75" hidden="false" customHeight="false" outlineLevel="0" collapsed="false">
      <c r="A4" s="11" t="n">
        <v>3</v>
      </c>
      <c r="B4" s="12" t="n">
        <v>46266</v>
      </c>
      <c r="C4" s="13" t="s">
        <v>34</v>
      </c>
      <c r="D4" s="14" t="s">
        <v>35</v>
      </c>
      <c r="E4" s="13"/>
      <c r="F4" s="15" t="s">
        <v>36</v>
      </c>
      <c r="G4" s="16" t="s">
        <v>22</v>
      </c>
      <c r="H4" s="13" t="s">
        <v>23</v>
      </c>
      <c r="I4" s="17" t="s">
        <v>24</v>
      </c>
      <c r="J4" s="13" t="s">
        <v>32</v>
      </c>
      <c r="K4" s="16" t="s">
        <v>26</v>
      </c>
      <c r="L4" s="18" t="n">
        <v>10000</v>
      </c>
      <c r="M4" s="19" t="n">
        <f aca="false">L4/(100%+7%)</f>
        <v>9345.79439252336</v>
      </c>
      <c r="N4" s="20" t="n">
        <f aca="false">M4/(100%+11.5%)</f>
        <v>8381.87837894472</v>
      </c>
      <c r="O4" s="19" t="n">
        <f aca="false">N4*11.5%</f>
        <v>963.916013578643</v>
      </c>
      <c r="P4" s="21"/>
      <c r="Q4" s="22" t="s">
        <v>27</v>
      </c>
      <c r="R4" s="21"/>
      <c r="S4" s="23" t="s">
        <v>37</v>
      </c>
      <c r="T4" s="24"/>
      <c r="U4" s="16"/>
      <c r="V4" s="13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</row>
    <row r="5" customFormat="false" ht="15.75" hidden="false" customHeight="false" outlineLevel="0" collapsed="false">
      <c r="A5" s="11" t="n">
        <v>4</v>
      </c>
      <c r="B5" s="12" t="n">
        <v>46266</v>
      </c>
      <c r="C5" s="13" t="s">
        <v>38</v>
      </c>
      <c r="D5" s="14" t="s">
        <v>39</v>
      </c>
      <c r="E5" s="13"/>
      <c r="F5" s="15" t="s">
        <v>40</v>
      </c>
      <c r="G5" s="16" t="s">
        <v>22</v>
      </c>
      <c r="H5" s="13" t="s">
        <v>23</v>
      </c>
      <c r="I5" s="17" t="s">
        <v>24</v>
      </c>
      <c r="J5" s="13" t="s">
        <v>32</v>
      </c>
      <c r="K5" s="16" t="s">
        <v>26</v>
      </c>
      <c r="L5" s="18" t="n">
        <v>10000</v>
      </c>
      <c r="M5" s="19" t="n">
        <f aca="false">L5/(100%+7%)</f>
        <v>9345.79439252336</v>
      </c>
      <c r="N5" s="20" t="n">
        <f aca="false">M5/(100%+11.5%)</f>
        <v>8381.87837894472</v>
      </c>
      <c r="O5" s="19" t="n">
        <f aca="false">N5*11.5%</f>
        <v>963.916013578643</v>
      </c>
      <c r="P5" s="21"/>
      <c r="Q5" s="22" t="s">
        <v>27</v>
      </c>
      <c r="R5" s="21"/>
      <c r="S5" s="23" t="s">
        <v>41</v>
      </c>
      <c r="T5" s="24"/>
      <c r="U5" s="16"/>
      <c r="V5" s="13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</row>
    <row r="6" customFormat="false" ht="15.75" hidden="false" customHeight="false" outlineLevel="0" collapsed="false">
      <c r="A6" s="11" t="n">
        <v>5</v>
      </c>
      <c r="B6" s="12" t="n">
        <v>46266</v>
      </c>
      <c r="C6" s="13" t="s">
        <v>42</v>
      </c>
      <c r="D6" s="14" t="s">
        <v>43</v>
      </c>
      <c r="E6" s="13"/>
      <c r="F6" s="15" t="s">
        <v>44</v>
      </c>
      <c r="G6" s="16" t="s">
        <v>22</v>
      </c>
      <c r="H6" s="13" t="s">
        <v>23</v>
      </c>
      <c r="I6" s="17" t="s">
        <v>24</v>
      </c>
      <c r="J6" s="13" t="s">
        <v>32</v>
      </c>
      <c r="K6" s="16" t="s">
        <v>45</v>
      </c>
      <c r="L6" s="18" t="n">
        <v>15000</v>
      </c>
      <c r="M6" s="19" t="n">
        <f aca="false">L6/(100%+7%)</f>
        <v>14018.691588785</v>
      </c>
      <c r="N6" s="20" t="n">
        <f aca="false">M6/(100%+11.5%)</f>
        <v>12572.8175684171</v>
      </c>
      <c r="O6" s="19" t="n">
        <f aca="false">N6*11.5%</f>
        <v>1445.87402036796</v>
      </c>
      <c r="P6" s="21"/>
      <c r="Q6" s="22" t="s">
        <v>27</v>
      </c>
      <c r="R6" s="21"/>
      <c r="S6" s="23" t="s">
        <v>46</v>
      </c>
      <c r="T6" s="24"/>
      <c r="U6" s="16"/>
      <c r="V6" s="13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</row>
    <row r="7" customFormat="false" ht="15.75" hidden="false" customHeight="false" outlineLevel="0" collapsed="false">
      <c r="A7" s="11" t="n">
        <v>6</v>
      </c>
      <c r="B7" s="12" t="n">
        <v>46266</v>
      </c>
      <c r="C7" s="13" t="s">
        <v>47</v>
      </c>
      <c r="D7" s="14" t="s">
        <v>48</v>
      </c>
      <c r="E7" s="13"/>
      <c r="F7" s="15" t="s">
        <v>49</v>
      </c>
      <c r="G7" s="16" t="s">
        <v>22</v>
      </c>
      <c r="H7" s="13" t="s">
        <v>23</v>
      </c>
      <c r="I7" s="17" t="s">
        <v>24</v>
      </c>
      <c r="J7" s="13" t="s">
        <v>32</v>
      </c>
      <c r="K7" s="16" t="s">
        <v>26</v>
      </c>
      <c r="L7" s="18" t="n">
        <v>10000</v>
      </c>
      <c r="M7" s="19" t="n">
        <f aca="false">L7/(100%+7%)</f>
        <v>9345.79439252336</v>
      </c>
      <c r="N7" s="20" t="n">
        <f aca="false">M7/(100%+11.5%)</f>
        <v>8381.87837894472</v>
      </c>
      <c r="O7" s="19" t="n">
        <f aca="false">N7*11.5%</f>
        <v>963.916013578643</v>
      </c>
      <c r="P7" s="21"/>
      <c r="Q7" s="22" t="s">
        <v>27</v>
      </c>
      <c r="R7" s="21"/>
      <c r="S7" s="23" t="s">
        <v>50</v>
      </c>
      <c r="T7" s="24"/>
      <c r="U7" s="16"/>
      <c r="V7" s="13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</row>
    <row r="8" customFormat="false" ht="15.75" hidden="false" customHeight="false" outlineLevel="0" collapsed="false">
      <c r="A8" s="11" t="n">
        <v>7</v>
      </c>
      <c r="B8" s="12" t="n">
        <v>46266</v>
      </c>
      <c r="C8" s="13" t="s">
        <v>51</v>
      </c>
      <c r="D8" s="14" t="s">
        <v>52</v>
      </c>
      <c r="E8" s="13"/>
      <c r="F8" s="15" t="s">
        <v>53</v>
      </c>
      <c r="G8" s="16" t="s">
        <v>22</v>
      </c>
      <c r="H8" s="13" t="s">
        <v>23</v>
      </c>
      <c r="I8" s="17" t="s">
        <v>24</v>
      </c>
      <c r="J8" s="13" t="s">
        <v>32</v>
      </c>
      <c r="K8" s="16" t="s">
        <v>26</v>
      </c>
      <c r="L8" s="18" t="n">
        <v>10000</v>
      </c>
      <c r="M8" s="19" t="n">
        <f aca="false">L8/(100%+7%)</f>
        <v>9345.79439252336</v>
      </c>
      <c r="N8" s="20" t="n">
        <f aca="false">M8/(100%+11.5%)</f>
        <v>8381.87837894472</v>
      </c>
      <c r="O8" s="19" t="n">
        <f aca="false">N8*11.5%</f>
        <v>963.916013578643</v>
      </c>
      <c r="P8" s="21"/>
      <c r="Q8" s="22" t="s">
        <v>27</v>
      </c>
      <c r="R8" s="21"/>
      <c r="S8" s="23" t="s">
        <v>54</v>
      </c>
      <c r="T8" s="24"/>
      <c r="U8" s="16"/>
      <c r="V8" s="13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</row>
    <row r="9" customFormat="false" ht="15.75" hidden="false" customHeight="false" outlineLevel="0" collapsed="false">
      <c r="A9" s="11" t="n">
        <v>8</v>
      </c>
      <c r="B9" s="12" t="n">
        <v>46267</v>
      </c>
      <c r="C9" s="13" t="s">
        <v>55</v>
      </c>
      <c r="D9" s="14" t="s">
        <v>56</v>
      </c>
      <c r="E9" s="13"/>
      <c r="F9" s="15" t="s">
        <v>57</v>
      </c>
      <c r="G9" s="16" t="s">
        <v>22</v>
      </c>
      <c r="H9" s="13" t="s">
        <v>23</v>
      </c>
      <c r="I9" s="17" t="s">
        <v>24</v>
      </c>
      <c r="J9" s="13" t="s">
        <v>32</v>
      </c>
      <c r="K9" s="16" t="s">
        <v>58</v>
      </c>
      <c r="L9" s="18" t="n">
        <v>10000</v>
      </c>
      <c r="M9" s="19" t="n">
        <f aca="false">L9/(100%+7%)</f>
        <v>9345.79439252336</v>
      </c>
      <c r="N9" s="20" t="n">
        <f aca="false">M9/(100%+11.5%)</f>
        <v>8381.87837894472</v>
      </c>
      <c r="O9" s="19" t="n">
        <f aca="false">N9*11.5%</f>
        <v>963.916013578643</v>
      </c>
      <c r="P9" s="21"/>
      <c r="Q9" s="22" t="s">
        <v>27</v>
      </c>
      <c r="R9" s="21"/>
      <c r="S9" s="23" t="s">
        <v>59</v>
      </c>
      <c r="T9" s="24"/>
      <c r="U9" s="16"/>
      <c r="V9" s="13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</row>
    <row r="10" customFormat="false" ht="15.75" hidden="false" customHeight="false" outlineLevel="0" collapsed="false">
      <c r="A10" s="11" t="n">
        <v>9</v>
      </c>
      <c r="B10" s="12" t="n">
        <v>46267</v>
      </c>
      <c r="C10" s="26" t="s">
        <v>60</v>
      </c>
      <c r="D10" s="14" t="s">
        <v>61</v>
      </c>
      <c r="E10" s="13" t="n">
        <v>70105</v>
      </c>
      <c r="F10" s="15" t="s">
        <v>62</v>
      </c>
      <c r="G10" s="16" t="s">
        <v>63</v>
      </c>
      <c r="H10" s="13" t="s">
        <v>23</v>
      </c>
      <c r="I10" s="17" t="s">
        <v>24</v>
      </c>
      <c r="J10" s="13" t="s">
        <v>32</v>
      </c>
      <c r="K10" s="16" t="s">
        <v>58</v>
      </c>
      <c r="L10" s="18" t="n">
        <v>5000</v>
      </c>
      <c r="M10" s="19" t="n">
        <f aca="false">L10/(100%+7%)</f>
        <v>4672.89719626168</v>
      </c>
      <c r="N10" s="20" t="n">
        <f aca="false">M10/(100%+11.5%)</f>
        <v>4190.93918947236</v>
      </c>
      <c r="O10" s="19" t="n">
        <f aca="false">N10*11.5%</f>
        <v>481.958006789322</v>
      </c>
      <c r="P10" s="21"/>
      <c r="Q10" s="22" t="s">
        <v>27</v>
      </c>
      <c r="R10" s="21"/>
      <c r="S10" s="23" t="s">
        <v>64</v>
      </c>
      <c r="T10" s="24"/>
      <c r="U10" s="16"/>
      <c r="V10" s="13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</row>
    <row r="11" customFormat="false" ht="15.75" hidden="false" customHeight="false" outlineLevel="0" collapsed="false">
      <c r="A11" s="11" t="n">
        <v>10</v>
      </c>
      <c r="B11" s="12" t="n">
        <v>46267</v>
      </c>
      <c r="C11" s="13" t="s">
        <v>65</v>
      </c>
      <c r="D11" s="14" t="s">
        <v>66</v>
      </c>
      <c r="E11" s="13"/>
      <c r="F11" s="15" t="s">
        <v>67</v>
      </c>
      <c r="G11" s="16" t="s">
        <v>63</v>
      </c>
      <c r="H11" s="13" t="s">
        <v>23</v>
      </c>
      <c r="I11" s="17" t="s">
        <v>24</v>
      </c>
      <c r="J11" s="13" t="s">
        <v>32</v>
      </c>
      <c r="K11" s="16" t="s">
        <v>68</v>
      </c>
      <c r="L11" s="18" t="n">
        <v>3000</v>
      </c>
      <c r="M11" s="19" t="n">
        <f aca="false">L11/(100%+7%)</f>
        <v>2803.73831775701</v>
      </c>
      <c r="N11" s="20" t="n">
        <f aca="false">M11/(100%+11.5%)</f>
        <v>2514.56351368342</v>
      </c>
      <c r="O11" s="19" t="n">
        <f aca="false">N11*11.5%</f>
        <v>289.174804073593</v>
      </c>
      <c r="P11" s="21"/>
      <c r="Q11" s="22" t="s">
        <v>27</v>
      </c>
      <c r="R11" s="21"/>
      <c r="S11" s="23" t="s">
        <v>69</v>
      </c>
      <c r="T11" s="24"/>
      <c r="U11" s="16"/>
      <c r="V11" s="13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</row>
    <row r="12" customFormat="false" ht="15.75" hidden="false" customHeight="false" outlineLevel="0" collapsed="false">
      <c r="A12" s="11" t="n">
        <v>11</v>
      </c>
      <c r="B12" s="12" t="n">
        <v>46267</v>
      </c>
      <c r="C12" s="26" t="s">
        <v>70</v>
      </c>
      <c r="D12" s="14" t="s">
        <v>71</v>
      </c>
      <c r="E12" s="13" t="n">
        <v>70132</v>
      </c>
      <c r="F12" s="15" t="s">
        <v>72</v>
      </c>
      <c r="G12" s="16" t="s">
        <v>22</v>
      </c>
      <c r="H12" s="13" t="s">
        <v>23</v>
      </c>
      <c r="I12" s="17" t="s">
        <v>24</v>
      </c>
      <c r="J12" s="13" t="s">
        <v>32</v>
      </c>
      <c r="K12" s="16" t="s">
        <v>26</v>
      </c>
      <c r="L12" s="18" t="n">
        <v>10000</v>
      </c>
      <c r="M12" s="19" t="n">
        <f aca="false">L12/(100%+7%)</f>
        <v>9345.79439252336</v>
      </c>
      <c r="N12" s="20" t="n">
        <f aca="false">M12/(100%+11.5%)</f>
        <v>8381.87837894472</v>
      </c>
      <c r="O12" s="19" t="n">
        <f aca="false">N12*11.5%</f>
        <v>963.916013578643</v>
      </c>
      <c r="P12" s="21"/>
      <c r="Q12" s="22" t="s">
        <v>27</v>
      </c>
      <c r="R12" s="21"/>
      <c r="S12" s="23" t="s">
        <v>73</v>
      </c>
      <c r="T12" s="24"/>
      <c r="U12" s="16"/>
      <c r="V12" s="13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</row>
    <row r="13" customFormat="false" ht="15.75" hidden="false" customHeight="false" outlineLevel="0" collapsed="false">
      <c r="A13" s="11" t="n">
        <v>12</v>
      </c>
      <c r="B13" s="12" t="n">
        <v>46267</v>
      </c>
      <c r="C13" s="26" t="s">
        <v>74</v>
      </c>
      <c r="D13" s="14" t="s">
        <v>75</v>
      </c>
      <c r="E13" s="13" t="n">
        <v>60033</v>
      </c>
      <c r="F13" s="15" t="s">
        <v>76</v>
      </c>
      <c r="G13" s="16" t="s">
        <v>77</v>
      </c>
      <c r="H13" s="13" t="s">
        <v>23</v>
      </c>
      <c r="I13" s="17" t="s">
        <v>24</v>
      </c>
      <c r="J13" s="13" t="s">
        <v>32</v>
      </c>
      <c r="K13" s="16" t="s">
        <v>58</v>
      </c>
      <c r="L13" s="18" t="n">
        <v>10000</v>
      </c>
      <c r="M13" s="19" t="n">
        <f aca="false">L13/(100%+7%)</f>
        <v>9345.79439252336</v>
      </c>
      <c r="N13" s="20" t="n">
        <f aca="false">M13/(100%+11.5%)</f>
        <v>8381.87837894472</v>
      </c>
      <c r="O13" s="19" t="n">
        <f aca="false">N13*11.5%</f>
        <v>963.916013578643</v>
      </c>
      <c r="P13" s="21"/>
      <c r="Q13" s="22" t="s">
        <v>27</v>
      </c>
      <c r="R13" s="21"/>
      <c r="S13" s="13" t="s">
        <v>78</v>
      </c>
      <c r="T13" s="13"/>
      <c r="U13" s="16"/>
      <c r="V13" s="13"/>
      <c r="W13" s="25"/>
      <c r="X13" s="13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</row>
    <row r="14" customFormat="false" ht="15.75" hidden="false" customHeight="false" outlineLevel="0" collapsed="false">
      <c r="A14" s="11" t="n">
        <v>13</v>
      </c>
      <c r="B14" s="12" t="n">
        <v>46267</v>
      </c>
      <c r="C14" s="26" t="s">
        <v>79</v>
      </c>
      <c r="D14" s="14" t="s">
        <v>80</v>
      </c>
      <c r="E14" s="13" t="n">
        <v>70122</v>
      </c>
      <c r="F14" s="15" t="s">
        <v>81</v>
      </c>
      <c r="G14" s="16" t="s">
        <v>77</v>
      </c>
      <c r="H14" s="13" t="s">
        <v>23</v>
      </c>
      <c r="I14" s="17" t="s">
        <v>24</v>
      </c>
      <c r="J14" s="13" t="s">
        <v>32</v>
      </c>
      <c r="K14" s="16" t="s">
        <v>58</v>
      </c>
      <c r="L14" s="18" t="n">
        <v>5000</v>
      </c>
      <c r="M14" s="19" t="n">
        <f aca="false">L14/(100%+7%)</f>
        <v>4672.89719626168</v>
      </c>
      <c r="N14" s="20" t="n">
        <f aca="false">M14/(100%+11.5%)</f>
        <v>4190.93918947236</v>
      </c>
      <c r="O14" s="19" t="n">
        <f aca="false">N14*11.5%</f>
        <v>481.958006789322</v>
      </c>
      <c r="P14" s="21"/>
      <c r="Q14" s="22" t="s">
        <v>27</v>
      </c>
      <c r="R14" s="21"/>
      <c r="S14" s="13" t="s">
        <v>82</v>
      </c>
      <c r="T14" s="13"/>
      <c r="U14" s="16"/>
      <c r="V14" s="13"/>
      <c r="W14" s="25"/>
      <c r="X14" s="13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</row>
    <row r="15" customFormat="false" ht="15.75" hidden="false" customHeight="false" outlineLevel="0" collapsed="false">
      <c r="A15" s="11" t="n">
        <v>14</v>
      </c>
      <c r="B15" s="12" t="n">
        <v>46268</v>
      </c>
      <c r="C15" s="26" t="s">
        <v>83</v>
      </c>
      <c r="D15" s="14" t="s">
        <v>84</v>
      </c>
      <c r="E15" s="13" t="n">
        <v>42228</v>
      </c>
      <c r="F15" s="15" t="s">
        <v>85</v>
      </c>
      <c r="G15" s="16" t="s">
        <v>22</v>
      </c>
      <c r="H15" s="13" t="s">
        <v>23</v>
      </c>
      <c r="I15" s="17" t="s">
        <v>24</v>
      </c>
      <c r="J15" s="13" t="s">
        <v>25</v>
      </c>
      <c r="K15" s="16" t="s">
        <v>86</v>
      </c>
      <c r="L15" s="18" t="n">
        <v>10000</v>
      </c>
      <c r="M15" s="19" t="n">
        <f aca="false">L15/(100%+7%)</f>
        <v>9345.79439252336</v>
      </c>
      <c r="N15" s="20" t="n">
        <f aca="false">M15/(100%+11.5%)</f>
        <v>8381.87837894472</v>
      </c>
      <c r="O15" s="19" t="n">
        <f aca="false">N15*11.5%</f>
        <v>963.916013578643</v>
      </c>
      <c r="P15" s="21"/>
      <c r="Q15" s="22" t="s">
        <v>27</v>
      </c>
      <c r="R15" s="21"/>
      <c r="S15" s="23" t="s">
        <v>87</v>
      </c>
      <c r="T15" s="24"/>
      <c r="U15" s="16"/>
      <c r="V15" s="13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</row>
    <row r="16" customFormat="false" ht="15.75" hidden="false" customHeight="false" outlineLevel="0" collapsed="false">
      <c r="A16" s="11" t="n">
        <v>15</v>
      </c>
      <c r="B16" s="12" t="n">
        <v>46268</v>
      </c>
      <c r="C16" s="13" t="s">
        <v>88</v>
      </c>
      <c r="D16" s="14" t="s">
        <v>89</v>
      </c>
      <c r="E16" s="13"/>
      <c r="F16" s="15" t="s">
        <v>90</v>
      </c>
      <c r="G16" s="16" t="s">
        <v>22</v>
      </c>
      <c r="H16" s="13" t="s">
        <v>23</v>
      </c>
      <c r="I16" s="17" t="s">
        <v>24</v>
      </c>
      <c r="J16" s="13" t="s">
        <v>32</v>
      </c>
      <c r="K16" s="16" t="s">
        <v>91</v>
      </c>
      <c r="L16" s="18" t="n">
        <v>15000</v>
      </c>
      <c r="M16" s="19" t="n">
        <f aca="false">L16/(100%+7%)</f>
        <v>14018.691588785</v>
      </c>
      <c r="N16" s="20" t="n">
        <f aca="false">M16/(100%+11.5%)</f>
        <v>12572.8175684171</v>
      </c>
      <c r="O16" s="19" t="n">
        <f aca="false">N16*11.5%</f>
        <v>1445.87402036796</v>
      </c>
      <c r="P16" s="21"/>
      <c r="Q16" s="22" t="s">
        <v>27</v>
      </c>
      <c r="R16" s="21"/>
      <c r="S16" s="23" t="s">
        <v>92</v>
      </c>
      <c r="T16" s="24"/>
      <c r="U16" s="16"/>
      <c r="V16" s="13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</row>
    <row r="17" customFormat="false" ht="15.75" hidden="false" customHeight="false" outlineLevel="0" collapsed="false">
      <c r="A17" s="11" t="n">
        <v>16</v>
      </c>
      <c r="B17" s="12" t="n">
        <v>46268</v>
      </c>
      <c r="C17" s="13" t="s">
        <v>93</v>
      </c>
      <c r="D17" s="14" t="s">
        <v>94</v>
      </c>
      <c r="E17" s="13"/>
      <c r="F17" s="15" t="s">
        <v>95</v>
      </c>
      <c r="G17" s="16" t="s">
        <v>22</v>
      </c>
      <c r="H17" s="13" t="s">
        <v>23</v>
      </c>
      <c r="I17" s="17" t="s">
        <v>24</v>
      </c>
      <c r="J17" s="13" t="s">
        <v>32</v>
      </c>
      <c r="K17" s="16" t="s">
        <v>96</v>
      </c>
      <c r="L17" s="18" t="n">
        <v>15000</v>
      </c>
      <c r="M17" s="19" t="n">
        <f aca="false">L17/(100%+7%)</f>
        <v>14018.691588785</v>
      </c>
      <c r="N17" s="20" t="n">
        <f aca="false">M17/(100%+11.5%)</f>
        <v>12572.8175684171</v>
      </c>
      <c r="O17" s="19" t="n">
        <f aca="false">N17*11.5%</f>
        <v>1445.87402036796</v>
      </c>
      <c r="P17" s="21"/>
      <c r="Q17" s="22" t="s">
        <v>27</v>
      </c>
      <c r="R17" s="21"/>
      <c r="S17" s="23" t="s">
        <v>97</v>
      </c>
      <c r="T17" s="24"/>
      <c r="U17" s="16"/>
      <c r="V17" s="13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</row>
    <row r="18" customFormat="false" ht="15.75" hidden="false" customHeight="false" outlineLevel="0" collapsed="false">
      <c r="A18" s="11" t="n">
        <v>17</v>
      </c>
      <c r="B18" s="12" t="n">
        <v>46268</v>
      </c>
      <c r="C18" s="13" t="s">
        <v>98</v>
      </c>
      <c r="D18" s="14" t="s">
        <v>99</v>
      </c>
      <c r="E18" s="13"/>
      <c r="F18" s="15" t="s">
        <v>100</v>
      </c>
      <c r="G18" s="16" t="s">
        <v>63</v>
      </c>
      <c r="H18" s="13" t="s">
        <v>23</v>
      </c>
      <c r="I18" s="17" t="s">
        <v>24</v>
      </c>
      <c r="J18" s="13" t="s">
        <v>32</v>
      </c>
      <c r="K18" s="16" t="s">
        <v>101</v>
      </c>
      <c r="L18" s="18" t="n">
        <v>5000</v>
      </c>
      <c r="M18" s="19" t="n">
        <f aca="false">L18/(100%+7%)</f>
        <v>4672.89719626168</v>
      </c>
      <c r="N18" s="20" t="n">
        <f aca="false">M18/(100%+11.5%)</f>
        <v>4190.93918947236</v>
      </c>
      <c r="O18" s="19" t="n">
        <f aca="false">N18*11.5%</f>
        <v>481.958006789322</v>
      </c>
      <c r="P18" s="21"/>
      <c r="Q18" s="22" t="s">
        <v>27</v>
      </c>
      <c r="R18" s="21"/>
      <c r="S18" s="23" t="s">
        <v>102</v>
      </c>
      <c r="T18" s="24"/>
      <c r="U18" s="16"/>
      <c r="V18" s="13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</row>
    <row r="19" customFormat="false" ht="15.75" hidden="false" customHeight="false" outlineLevel="0" collapsed="false">
      <c r="A19" s="11" t="n">
        <v>18</v>
      </c>
      <c r="B19" s="12" t="n">
        <v>46268</v>
      </c>
      <c r="C19" s="13" t="s">
        <v>103</v>
      </c>
      <c r="D19" s="14" t="s">
        <v>104</v>
      </c>
      <c r="E19" s="13"/>
      <c r="F19" s="15" t="s">
        <v>105</v>
      </c>
      <c r="G19" s="16" t="s">
        <v>63</v>
      </c>
      <c r="H19" s="13" t="s">
        <v>23</v>
      </c>
      <c r="I19" s="17" t="s">
        <v>24</v>
      </c>
      <c r="J19" s="13" t="s">
        <v>32</v>
      </c>
      <c r="K19" s="16" t="s">
        <v>101</v>
      </c>
      <c r="L19" s="18" t="n">
        <v>5000</v>
      </c>
      <c r="M19" s="19" t="n">
        <f aca="false">L19/(100%+7%)</f>
        <v>4672.89719626168</v>
      </c>
      <c r="N19" s="20" t="n">
        <f aca="false">M19/(100%+11.5%)</f>
        <v>4190.93918947236</v>
      </c>
      <c r="O19" s="19" t="n">
        <f aca="false">N19*11.5%</f>
        <v>481.958006789322</v>
      </c>
      <c r="P19" s="21"/>
      <c r="Q19" s="22" t="s">
        <v>27</v>
      </c>
      <c r="R19" s="21"/>
      <c r="S19" s="23" t="s">
        <v>106</v>
      </c>
      <c r="T19" s="24"/>
      <c r="U19" s="16"/>
      <c r="V19" s="13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</row>
    <row r="20" customFormat="false" ht="15.75" hidden="false" customHeight="false" outlineLevel="0" collapsed="false">
      <c r="A20" s="11" t="n">
        <v>19</v>
      </c>
      <c r="B20" s="12" t="n">
        <v>46268</v>
      </c>
      <c r="C20" s="13" t="s">
        <v>107</v>
      </c>
      <c r="D20" s="14" t="s">
        <v>108</v>
      </c>
      <c r="E20" s="13"/>
      <c r="F20" s="15" t="s">
        <v>109</v>
      </c>
      <c r="G20" s="16" t="s">
        <v>63</v>
      </c>
      <c r="H20" s="13" t="s">
        <v>23</v>
      </c>
      <c r="I20" s="17" t="s">
        <v>24</v>
      </c>
      <c r="J20" s="13" t="s">
        <v>32</v>
      </c>
      <c r="K20" s="16" t="s">
        <v>101</v>
      </c>
      <c r="L20" s="18" t="n">
        <v>5000</v>
      </c>
      <c r="M20" s="19" t="n">
        <f aca="false">L20/(100%+7%)</f>
        <v>4672.89719626168</v>
      </c>
      <c r="N20" s="20" t="n">
        <f aca="false">M20/(100%+11.5%)</f>
        <v>4190.93918947236</v>
      </c>
      <c r="O20" s="19" t="n">
        <f aca="false">N20*11.5%</f>
        <v>481.958006789322</v>
      </c>
      <c r="P20" s="21"/>
      <c r="Q20" s="22" t="s">
        <v>27</v>
      </c>
      <c r="R20" s="21"/>
      <c r="S20" s="23" t="s">
        <v>110</v>
      </c>
      <c r="T20" s="24"/>
      <c r="U20" s="16"/>
      <c r="V20" s="13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</row>
    <row r="21" customFormat="false" ht="15.75" hidden="false" customHeight="false" outlineLevel="0" collapsed="false">
      <c r="A21" s="11" t="n">
        <v>20</v>
      </c>
      <c r="B21" s="12" t="n">
        <v>46268</v>
      </c>
      <c r="C21" s="13" t="s">
        <v>111</v>
      </c>
      <c r="D21" s="14" t="s">
        <v>112</v>
      </c>
      <c r="E21" s="13"/>
      <c r="F21" s="15" t="s">
        <v>113</v>
      </c>
      <c r="G21" s="16" t="s">
        <v>22</v>
      </c>
      <c r="H21" s="13" t="s">
        <v>23</v>
      </c>
      <c r="I21" s="17" t="s">
        <v>24</v>
      </c>
      <c r="J21" s="13" t="s">
        <v>32</v>
      </c>
      <c r="K21" s="16" t="s">
        <v>86</v>
      </c>
      <c r="L21" s="18" t="n">
        <v>20000</v>
      </c>
      <c r="M21" s="19" t="n">
        <f aca="false">L21/(100%+7%)</f>
        <v>18691.5887850467</v>
      </c>
      <c r="N21" s="20" t="n">
        <f aca="false">M21/(100%+11.5%)</f>
        <v>16763.7567578894</v>
      </c>
      <c r="O21" s="19" t="n">
        <f aca="false">N21*11.5%</f>
        <v>1927.83202715729</v>
      </c>
      <c r="P21" s="21"/>
      <c r="Q21" s="22" t="s">
        <v>27</v>
      </c>
      <c r="R21" s="21"/>
      <c r="S21" s="23" t="s">
        <v>114</v>
      </c>
      <c r="T21" s="24"/>
      <c r="U21" s="16"/>
      <c r="V21" s="13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</row>
    <row r="22" customFormat="false" ht="15.75" hidden="false" customHeight="false" outlineLevel="0" collapsed="false">
      <c r="A22" s="11" t="n">
        <v>21</v>
      </c>
      <c r="B22" s="12" t="n">
        <v>46269</v>
      </c>
      <c r="C22" s="26" t="s">
        <v>115</v>
      </c>
      <c r="D22" s="14" t="s">
        <v>116</v>
      </c>
      <c r="E22" s="13" t="n">
        <v>40163</v>
      </c>
      <c r="F22" s="15" t="s">
        <v>117</v>
      </c>
      <c r="G22" s="16" t="s">
        <v>77</v>
      </c>
      <c r="H22" s="13" t="s">
        <v>23</v>
      </c>
      <c r="I22" s="17" t="s">
        <v>24</v>
      </c>
      <c r="J22" s="13" t="s">
        <v>32</v>
      </c>
      <c r="K22" s="16" t="s">
        <v>118</v>
      </c>
      <c r="L22" s="18" t="n">
        <v>5000</v>
      </c>
      <c r="M22" s="19" t="n">
        <f aca="false">L22/(100%+7%)</f>
        <v>4672.89719626168</v>
      </c>
      <c r="N22" s="20" t="n">
        <f aca="false">M22/(100%+11.5%)</f>
        <v>4190.93918947236</v>
      </c>
      <c r="O22" s="19" t="n">
        <f aca="false">N22*11.5%</f>
        <v>481.958006789322</v>
      </c>
      <c r="P22" s="21"/>
      <c r="Q22" s="22" t="s">
        <v>27</v>
      </c>
      <c r="R22" s="21"/>
      <c r="S22" s="13" t="s">
        <v>119</v>
      </c>
      <c r="T22" s="13"/>
      <c r="U22" s="16"/>
      <c r="V22" s="13"/>
      <c r="W22" s="25"/>
      <c r="X22" s="13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</row>
    <row r="23" customFormat="false" ht="15.75" hidden="false" customHeight="false" outlineLevel="0" collapsed="false">
      <c r="A23" s="11" t="n">
        <v>22</v>
      </c>
      <c r="B23" s="12" t="n">
        <v>46269</v>
      </c>
      <c r="C23" s="26" t="s">
        <v>120</v>
      </c>
      <c r="D23" s="14" t="s">
        <v>121</v>
      </c>
      <c r="E23" s="13" t="n">
        <v>70081</v>
      </c>
      <c r="F23" s="15" t="s">
        <v>122</v>
      </c>
      <c r="G23" s="16" t="s">
        <v>77</v>
      </c>
      <c r="H23" s="13" t="s">
        <v>23</v>
      </c>
      <c r="I23" s="17" t="s">
        <v>24</v>
      </c>
      <c r="J23" s="13" t="s">
        <v>32</v>
      </c>
      <c r="K23" s="16" t="s">
        <v>118</v>
      </c>
      <c r="L23" s="18" t="n">
        <v>5000</v>
      </c>
      <c r="M23" s="19" t="n">
        <f aca="false">L23/(100%+7%)</f>
        <v>4672.89719626168</v>
      </c>
      <c r="N23" s="20" t="n">
        <f aca="false">M23/(100%+11.5%)</f>
        <v>4190.93918947236</v>
      </c>
      <c r="O23" s="19" t="n">
        <f aca="false">N23*11.5%</f>
        <v>481.958006789322</v>
      </c>
      <c r="P23" s="21"/>
      <c r="Q23" s="22" t="s">
        <v>27</v>
      </c>
      <c r="R23" s="21"/>
      <c r="S23" s="13" t="s">
        <v>123</v>
      </c>
      <c r="T23" s="13"/>
      <c r="U23" s="16"/>
      <c r="V23" s="13"/>
      <c r="W23" s="25"/>
      <c r="X23" s="13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</row>
    <row r="24" customFormat="false" ht="15.75" hidden="false" customHeight="false" outlineLevel="0" collapsed="false">
      <c r="A24" s="11" t="n">
        <v>23</v>
      </c>
      <c r="B24" s="12" t="n">
        <v>46269</v>
      </c>
      <c r="C24" s="26" t="s">
        <v>124</v>
      </c>
      <c r="D24" s="14" t="s">
        <v>125</v>
      </c>
      <c r="E24" s="13" t="n">
        <v>40148</v>
      </c>
      <c r="F24" s="15" t="s">
        <v>126</v>
      </c>
      <c r="G24" s="16" t="s">
        <v>77</v>
      </c>
      <c r="H24" s="13" t="s">
        <v>23</v>
      </c>
      <c r="I24" s="17" t="s">
        <v>24</v>
      </c>
      <c r="J24" s="13" t="s">
        <v>32</v>
      </c>
      <c r="K24" s="16" t="s">
        <v>118</v>
      </c>
      <c r="L24" s="18" t="n">
        <v>5000</v>
      </c>
      <c r="M24" s="19" t="n">
        <f aca="false">L24/(100%+7%)</f>
        <v>4672.89719626168</v>
      </c>
      <c r="N24" s="20" t="n">
        <f aca="false">M24/(100%+11.5%)</f>
        <v>4190.93918947236</v>
      </c>
      <c r="O24" s="19" t="n">
        <f aca="false">N24*11.5%</f>
        <v>481.958006789322</v>
      </c>
      <c r="P24" s="21"/>
      <c r="Q24" s="22" t="s">
        <v>27</v>
      </c>
      <c r="R24" s="21"/>
      <c r="S24" s="13" t="s">
        <v>127</v>
      </c>
      <c r="T24" s="13"/>
      <c r="U24" s="16"/>
      <c r="V24" s="13"/>
      <c r="W24" s="25"/>
      <c r="X24" s="13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</row>
    <row r="25" customFormat="false" ht="15.75" hidden="false" customHeight="false" outlineLevel="0" collapsed="false">
      <c r="A25" s="11" t="n">
        <v>24</v>
      </c>
      <c r="B25" s="12" t="n">
        <v>46269</v>
      </c>
      <c r="C25" s="26" t="s">
        <v>128</v>
      </c>
      <c r="D25" s="14" t="s">
        <v>129</v>
      </c>
      <c r="E25" s="13" t="n">
        <v>40172</v>
      </c>
      <c r="F25" s="15" t="s">
        <v>130</v>
      </c>
      <c r="G25" s="16" t="s">
        <v>77</v>
      </c>
      <c r="H25" s="13" t="s">
        <v>23</v>
      </c>
      <c r="I25" s="17" t="s">
        <v>24</v>
      </c>
      <c r="J25" s="13" t="s">
        <v>32</v>
      </c>
      <c r="K25" s="16" t="s">
        <v>118</v>
      </c>
      <c r="L25" s="18" t="n">
        <v>5000</v>
      </c>
      <c r="M25" s="19" t="n">
        <f aca="false">L25/(100%+7%)</f>
        <v>4672.89719626168</v>
      </c>
      <c r="N25" s="20" t="n">
        <f aca="false">M25/(100%+11.5%)</f>
        <v>4190.93918947236</v>
      </c>
      <c r="O25" s="19" t="n">
        <f aca="false">N25*11.5%</f>
        <v>481.958006789322</v>
      </c>
      <c r="P25" s="21"/>
      <c r="Q25" s="22" t="s">
        <v>27</v>
      </c>
      <c r="R25" s="21"/>
      <c r="S25" s="13" t="s">
        <v>131</v>
      </c>
      <c r="T25" s="13"/>
      <c r="U25" s="16"/>
      <c r="V25" s="13"/>
      <c r="W25" s="25"/>
      <c r="X25" s="13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</row>
    <row r="26" customFormat="false" ht="15.75" hidden="false" customHeight="false" outlineLevel="0" collapsed="false">
      <c r="A26" s="11" t="n">
        <v>25</v>
      </c>
      <c r="B26" s="12" t="n">
        <v>46269</v>
      </c>
      <c r="C26" s="26" t="s">
        <v>132</v>
      </c>
      <c r="D26" s="14" t="s">
        <v>133</v>
      </c>
      <c r="E26" s="13" t="n">
        <v>40137</v>
      </c>
      <c r="F26" s="15" t="s">
        <v>134</v>
      </c>
      <c r="G26" s="16" t="s">
        <v>77</v>
      </c>
      <c r="H26" s="13" t="s">
        <v>23</v>
      </c>
      <c r="I26" s="17" t="s">
        <v>24</v>
      </c>
      <c r="J26" s="13" t="s">
        <v>32</v>
      </c>
      <c r="K26" s="16" t="s">
        <v>118</v>
      </c>
      <c r="L26" s="18" t="n">
        <v>5000</v>
      </c>
      <c r="M26" s="19" t="n">
        <f aca="false">L26/(100%+7%)</f>
        <v>4672.89719626168</v>
      </c>
      <c r="N26" s="20" t="n">
        <f aca="false">M26/(100%+11.5%)</f>
        <v>4190.93918947236</v>
      </c>
      <c r="O26" s="19" t="n">
        <f aca="false">N26*11.5%</f>
        <v>481.958006789322</v>
      </c>
      <c r="P26" s="21"/>
      <c r="Q26" s="22" t="s">
        <v>27</v>
      </c>
      <c r="R26" s="21"/>
      <c r="S26" s="13" t="s">
        <v>135</v>
      </c>
      <c r="T26" s="13"/>
      <c r="U26" s="16"/>
      <c r="V26" s="13"/>
      <c r="W26" s="25"/>
      <c r="X26" s="13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</row>
    <row r="27" customFormat="false" ht="15.75" hidden="false" customHeight="false" outlineLevel="0" collapsed="false">
      <c r="A27" s="11" t="n">
        <v>26</v>
      </c>
      <c r="B27" s="12" t="n">
        <v>46269</v>
      </c>
      <c r="C27" s="26" t="s">
        <v>136</v>
      </c>
      <c r="D27" s="14" t="s">
        <v>137</v>
      </c>
      <c r="E27" s="13" t="n">
        <v>70065</v>
      </c>
      <c r="F27" s="15" t="s">
        <v>138</v>
      </c>
      <c r="G27" s="16" t="s">
        <v>77</v>
      </c>
      <c r="H27" s="13" t="s">
        <v>23</v>
      </c>
      <c r="I27" s="17" t="s">
        <v>24</v>
      </c>
      <c r="J27" s="13" t="s">
        <v>32</v>
      </c>
      <c r="K27" s="16" t="s">
        <v>118</v>
      </c>
      <c r="L27" s="18" t="n">
        <v>5000</v>
      </c>
      <c r="M27" s="19" t="n">
        <f aca="false">L27/(100%+7%)</f>
        <v>4672.89719626168</v>
      </c>
      <c r="N27" s="20" t="n">
        <f aca="false">M27/(100%+11.5%)</f>
        <v>4190.93918947236</v>
      </c>
      <c r="O27" s="19" t="n">
        <f aca="false">N27*11.5%</f>
        <v>481.958006789322</v>
      </c>
      <c r="P27" s="21"/>
      <c r="Q27" s="22" t="s">
        <v>27</v>
      </c>
      <c r="R27" s="21"/>
      <c r="S27" s="13" t="s">
        <v>139</v>
      </c>
      <c r="T27" s="13"/>
      <c r="U27" s="16"/>
      <c r="V27" s="13"/>
      <c r="W27" s="25"/>
      <c r="X27" s="13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</row>
    <row r="28" customFormat="false" ht="15.75" hidden="false" customHeight="false" outlineLevel="0" collapsed="false">
      <c r="A28" s="11" t="n">
        <v>27</v>
      </c>
      <c r="B28" s="12" t="n">
        <v>46269</v>
      </c>
      <c r="C28" s="26" t="s">
        <v>140</v>
      </c>
      <c r="D28" s="14" t="s">
        <v>141</v>
      </c>
      <c r="E28" s="13" t="n">
        <v>40108</v>
      </c>
      <c r="F28" s="15" t="s">
        <v>142</v>
      </c>
      <c r="G28" s="16" t="s">
        <v>77</v>
      </c>
      <c r="H28" s="13" t="s">
        <v>23</v>
      </c>
      <c r="I28" s="17" t="s">
        <v>24</v>
      </c>
      <c r="J28" s="13" t="s">
        <v>32</v>
      </c>
      <c r="K28" s="16" t="s">
        <v>118</v>
      </c>
      <c r="L28" s="18" t="n">
        <v>5000</v>
      </c>
      <c r="M28" s="19" t="n">
        <f aca="false">L28/(100%+7%)</f>
        <v>4672.89719626168</v>
      </c>
      <c r="N28" s="20" t="n">
        <f aca="false">M28/(100%+11.5%)</f>
        <v>4190.93918947236</v>
      </c>
      <c r="O28" s="19" t="n">
        <f aca="false">N28*11.5%</f>
        <v>481.958006789322</v>
      </c>
      <c r="P28" s="21"/>
      <c r="Q28" s="22" t="s">
        <v>27</v>
      </c>
      <c r="R28" s="21"/>
      <c r="S28" s="13" t="s">
        <v>143</v>
      </c>
      <c r="T28" s="13"/>
      <c r="U28" s="16"/>
      <c r="V28" s="13"/>
      <c r="W28" s="25"/>
      <c r="X28" s="13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</row>
    <row r="29" customFormat="false" ht="15.75" hidden="false" customHeight="false" outlineLevel="0" collapsed="false">
      <c r="A29" s="11" t="n">
        <v>28</v>
      </c>
      <c r="B29" s="12" t="n">
        <v>46269</v>
      </c>
      <c r="C29" s="26" t="s">
        <v>144</v>
      </c>
      <c r="D29" s="14" t="s">
        <v>145</v>
      </c>
      <c r="E29" s="13" t="n">
        <v>42223</v>
      </c>
      <c r="F29" s="15" t="s">
        <v>146</v>
      </c>
      <c r="G29" s="16" t="s">
        <v>63</v>
      </c>
      <c r="H29" s="13" t="s">
        <v>23</v>
      </c>
      <c r="I29" s="17" t="s">
        <v>24</v>
      </c>
      <c r="J29" s="13" t="s">
        <v>25</v>
      </c>
      <c r="K29" s="16" t="s">
        <v>147</v>
      </c>
      <c r="L29" s="18" t="n">
        <v>5000</v>
      </c>
      <c r="M29" s="19" t="n">
        <f aca="false">L29/(100%+7%)</f>
        <v>4672.89719626168</v>
      </c>
      <c r="N29" s="20" t="n">
        <f aca="false">M29/(100%+11.5%)</f>
        <v>4190.93918947236</v>
      </c>
      <c r="O29" s="19" t="n">
        <f aca="false">N29*11.5%</f>
        <v>481.958006789322</v>
      </c>
      <c r="P29" s="21"/>
      <c r="Q29" s="22" t="s">
        <v>27</v>
      </c>
      <c r="R29" s="21"/>
      <c r="S29" s="23" t="s">
        <v>148</v>
      </c>
      <c r="T29" s="24"/>
      <c r="U29" s="16"/>
      <c r="V29" s="13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</row>
    <row r="30" customFormat="false" ht="15.75" hidden="false" customHeight="false" outlineLevel="0" collapsed="false">
      <c r="A30" s="11" t="n">
        <v>29</v>
      </c>
      <c r="B30" s="12" t="n">
        <v>46269</v>
      </c>
      <c r="C30" s="26" t="s">
        <v>149</v>
      </c>
      <c r="D30" s="14" t="s">
        <v>150</v>
      </c>
      <c r="E30" s="13" t="n">
        <v>42226</v>
      </c>
      <c r="F30" s="15" t="s">
        <v>151</v>
      </c>
      <c r="G30" s="16" t="s">
        <v>63</v>
      </c>
      <c r="H30" s="13" t="s">
        <v>23</v>
      </c>
      <c r="I30" s="17" t="s">
        <v>24</v>
      </c>
      <c r="J30" s="13" t="s">
        <v>25</v>
      </c>
      <c r="K30" s="16" t="s">
        <v>147</v>
      </c>
      <c r="L30" s="18" t="n">
        <v>5000</v>
      </c>
      <c r="M30" s="19" t="n">
        <f aca="false">L30/(100%+7%)</f>
        <v>4672.89719626168</v>
      </c>
      <c r="N30" s="20" t="n">
        <f aca="false">M30/(100%+11.5%)</f>
        <v>4190.93918947236</v>
      </c>
      <c r="O30" s="19" t="n">
        <f aca="false">N30*11.5%</f>
        <v>481.958006789322</v>
      </c>
      <c r="P30" s="21"/>
      <c r="Q30" s="22" t="s">
        <v>27</v>
      </c>
      <c r="R30" s="21"/>
      <c r="S30" s="23" t="s">
        <v>152</v>
      </c>
      <c r="T30" s="24"/>
      <c r="U30" s="16"/>
      <c r="V30" s="13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</row>
    <row r="31" customFormat="false" ht="15.75" hidden="false" customHeight="false" outlineLevel="0" collapsed="false">
      <c r="A31" s="11" t="n">
        <v>30</v>
      </c>
      <c r="B31" s="12" t="n">
        <v>46269</v>
      </c>
      <c r="C31" s="13" t="s">
        <v>153</v>
      </c>
      <c r="D31" s="14" t="s">
        <v>153</v>
      </c>
      <c r="E31" s="13"/>
      <c r="F31" s="15" t="s">
        <v>154</v>
      </c>
      <c r="G31" s="16" t="s">
        <v>63</v>
      </c>
      <c r="H31" s="13" t="s">
        <v>23</v>
      </c>
      <c r="I31" s="17" t="s">
        <v>24</v>
      </c>
      <c r="J31" s="13" t="s">
        <v>32</v>
      </c>
      <c r="K31" s="16" t="s">
        <v>155</v>
      </c>
      <c r="L31" s="18" t="n">
        <v>5000</v>
      </c>
      <c r="M31" s="19" t="n">
        <f aca="false">L31/(100%+7%)</f>
        <v>4672.89719626168</v>
      </c>
      <c r="N31" s="20" t="n">
        <f aca="false">M31/(100%+11.5%)</f>
        <v>4190.93918947236</v>
      </c>
      <c r="O31" s="19" t="n">
        <f aca="false">N31*11.5%</f>
        <v>481.958006789322</v>
      </c>
      <c r="P31" s="21"/>
      <c r="Q31" s="22" t="s">
        <v>27</v>
      </c>
      <c r="R31" s="21"/>
      <c r="S31" s="23" t="s">
        <v>156</v>
      </c>
      <c r="T31" s="24"/>
      <c r="U31" s="16"/>
      <c r="V31" s="13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</row>
    <row r="32" customFormat="false" ht="15.75" hidden="false" customHeight="false" outlineLevel="0" collapsed="false">
      <c r="A32" s="11" t="n">
        <v>31</v>
      </c>
      <c r="B32" s="12" t="n">
        <v>46269</v>
      </c>
      <c r="C32" s="26" t="s">
        <v>157</v>
      </c>
      <c r="D32" s="14" t="s">
        <v>158</v>
      </c>
      <c r="E32" s="13" t="n">
        <v>70037</v>
      </c>
      <c r="F32" s="15" t="s">
        <v>159</v>
      </c>
      <c r="G32" s="16" t="s">
        <v>63</v>
      </c>
      <c r="H32" s="13" t="s">
        <v>23</v>
      </c>
      <c r="I32" s="17" t="s">
        <v>24</v>
      </c>
      <c r="J32" s="13" t="s">
        <v>32</v>
      </c>
      <c r="K32" s="16" t="s">
        <v>118</v>
      </c>
      <c r="L32" s="18" t="n">
        <v>3000</v>
      </c>
      <c r="M32" s="19" t="n">
        <f aca="false">L32/(100%+7%)</f>
        <v>2803.73831775701</v>
      </c>
      <c r="N32" s="20" t="n">
        <f aca="false">M32/(100%+11.5%)</f>
        <v>2514.56351368342</v>
      </c>
      <c r="O32" s="19" t="n">
        <f aca="false">N32*11.5%</f>
        <v>289.174804073593</v>
      </c>
      <c r="P32" s="21"/>
      <c r="Q32" s="22" t="s">
        <v>27</v>
      </c>
      <c r="R32" s="21"/>
      <c r="S32" s="23" t="s">
        <v>160</v>
      </c>
      <c r="T32" s="24"/>
      <c r="U32" s="16"/>
      <c r="V32" s="13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</row>
    <row r="33" customFormat="false" ht="15.75" hidden="false" customHeight="false" outlineLevel="0" collapsed="false">
      <c r="A33" s="11" t="n">
        <v>32</v>
      </c>
      <c r="B33" s="12" t="n">
        <v>46269</v>
      </c>
      <c r="C33" s="13" t="s">
        <v>161</v>
      </c>
      <c r="D33" s="14" t="s">
        <v>162</v>
      </c>
      <c r="E33" s="13"/>
      <c r="F33" s="15" t="s">
        <v>163</v>
      </c>
      <c r="G33" s="16" t="s">
        <v>63</v>
      </c>
      <c r="H33" s="13" t="s">
        <v>23</v>
      </c>
      <c r="I33" s="17" t="s">
        <v>24</v>
      </c>
      <c r="J33" s="13" t="s">
        <v>32</v>
      </c>
      <c r="K33" s="16" t="s">
        <v>118</v>
      </c>
      <c r="L33" s="18" t="n">
        <v>2000</v>
      </c>
      <c r="M33" s="19" t="n">
        <f aca="false">L33/(100%+7%)</f>
        <v>1869.15887850467</v>
      </c>
      <c r="N33" s="20" t="n">
        <f aca="false">M33/(100%+11.5%)</f>
        <v>1676.37567578894</v>
      </c>
      <c r="O33" s="19" t="n">
        <f aca="false">N33*11.5%</f>
        <v>192.783202715729</v>
      </c>
      <c r="P33" s="21"/>
      <c r="Q33" s="22" t="s">
        <v>27</v>
      </c>
      <c r="R33" s="21"/>
      <c r="S33" s="23" t="s">
        <v>164</v>
      </c>
      <c r="T33" s="24"/>
      <c r="U33" s="16"/>
      <c r="V33" s="13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</row>
    <row r="34" customFormat="false" ht="15.75" hidden="false" customHeight="false" outlineLevel="0" collapsed="false">
      <c r="A34" s="11" t="n">
        <v>33</v>
      </c>
      <c r="B34" s="12" t="n">
        <v>46269</v>
      </c>
      <c r="C34" s="13" t="s">
        <v>70</v>
      </c>
      <c r="D34" s="14" t="s">
        <v>165</v>
      </c>
      <c r="E34" s="13"/>
      <c r="F34" s="15" t="s">
        <v>166</v>
      </c>
      <c r="G34" s="16" t="s">
        <v>22</v>
      </c>
      <c r="H34" s="13" t="s">
        <v>23</v>
      </c>
      <c r="I34" s="17" t="s">
        <v>24</v>
      </c>
      <c r="J34" s="13" t="s">
        <v>32</v>
      </c>
      <c r="K34" s="16" t="s">
        <v>167</v>
      </c>
      <c r="L34" s="18" t="n">
        <v>10000</v>
      </c>
      <c r="M34" s="19" t="n">
        <f aca="false">L34/(100%+7%)</f>
        <v>9345.79439252336</v>
      </c>
      <c r="N34" s="20" t="n">
        <f aca="false">M34/(100%+11.5%)</f>
        <v>8381.87837894472</v>
      </c>
      <c r="O34" s="19" t="n">
        <f aca="false">N34*11.5%</f>
        <v>963.916013578643</v>
      </c>
      <c r="P34" s="21"/>
      <c r="Q34" s="22" t="s">
        <v>27</v>
      </c>
      <c r="R34" s="21"/>
      <c r="S34" s="23" t="s">
        <v>168</v>
      </c>
      <c r="T34" s="24"/>
      <c r="U34" s="16"/>
      <c r="V34" s="13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</row>
    <row r="35" customFormat="false" ht="15.75" hidden="false" customHeight="false" outlineLevel="0" collapsed="false">
      <c r="A35" s="11" t="n">
        <v>34</v>
      </c>
      <c r="B35" s="12" t="n">
        <v>46269</v>
      </c>
      <c r="C35" s="26" t="s">
        <v>169</v>
      </c>
      <c r="D35" s="14" t="s">
        <v>170</v>
      </c>
      <c r="E35" s="13" t="n">
        <v>40185</v>
      </c>
      <c r="F35" s="15" t="s">
        <v>171</v>
      </c>
      <c r="G35" s="16" t="s">
        <v>63</v>
      </c>
      <c r="H35" s="13" t="s">
        <v>23</v>
      </c>
      <c r="I35" s="17" t="s">
        <v>24</v>
      </c>
      <c r="J35" s="13" t="s">
        <v>32</v>
      </c>
      <c r="K35" s="16" t="s">
        <v>172</v>
      </c>
      <c r="L35" s="18" t="n">
        <v>6000</v>
      </c>
      <c r="M35" s="19" t="n">
        <f aca="false">L35/(100%+7%)</f>
        <v>5607.47663551402</v>
      </c>
      <c r="N35" s="20" t="n">
        <f aca="false">M35/(100%+11.5%)</f>
        <v>5029.12702736683</v>
      </c>
      <c r="O35" s="19" t="n">
        <f aca="false">N35*11.5%</f>
        <v>578.349608147186</v>
      </c>
      <c r="P35" s="21"/>
      <c r="Q35" s="22" t="s">
        <v>27</v>
      </c>
      <c r="R35" s="21"/>
      <c r="S35" s="23" t="s">
        <v>173</v>
      </c>
      <c r="T35" s="24"/>
      <c r="U35" s="16"/>
      <c r="V35" s="13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</row>
    <row r="36" customFormat="false" ht="15.75" hidden="false" customHeight="false" outlineLevel="0" collapsed="false">
      <c r="A36" s="11" t="n">
        <v>35</v>
      </c>
      <c r="B36" s="12" t="n">
        <v>46269</v>
      </c>
      <c r="C36" s="26" t="s">
        <v>169</v>
      </c>
      <c r="D36" s="14" t="s">
        <v>174</v>
      </c>
      <c r="E36" s="13" t="n">
        <v>40185</v>
      </c>
      <c r="F36" s="15" t="s">
        <v>175</v>
      </c>
      <c r="G36" s="16" t="s">
        <v>63</v>
      </c>
      <c r="H36" s="13" t="s">
        <v>23</v>
      </c>
      <c r="I36" s="17" t="s">
        <v>24</v>
      </c>
      <c r="J36" s="13" t="s">
        <v>32</v>
      </c>
      <c r="K36" s="16" t="s">
        <v>172</v>
      </c>
      <c r="L36" s="18" t="n">
        <v>6000</v>
      </c>
      <c r="M36" s="19" t="n">
        <f aca="false">L36/(100%+7%)</f>
        <v>5607.47663551402</v>
      </c>
      <c r="N36" s="20" t="n">
        <f aca="false">M36/(100%+11.5%)</f>
        <v>5029.12702736683</v>
      </c>
      <c r="O36" s="19" t="n">
        <f aca="false">N36*11.5%</f>
        <v>578.349608147186</v>
      </c>
      <c r="P36" s="21"/>
      <c r="Q36" s="22" t="s">
        <v>27</v>
      </c>
      <c r="R36" s="21"/>
      <c r="S36" s="23" t="s">
        <v>176</v>
      </c>
      <c r="T36" s="24"/>
      <c r="U36" s="16"/>
      <c r="V36" s="13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</row>
    <row r="37" customFormat="false" ht="15.75" hidden="false" customHeight="false" outlineLevel="0" collapsed="false">
      <c r="A37" s="11" t="n">
        <v>36</v>
      </c>
      <c r="B37" s="12" t="n">
        <v>46269</v>
      </c>
      <c r="C37" s="26" t="s">
        <v>83</v>
      </c>
      <c r="D37" s="14" t="s">
        <v>177</v>
      </c>
      <c r="E37" s="13" t="n">
        <v>42228</v>
      </c>
      <c r="F37" s="15" t="s">
        <v>178</v>
      </c>
      <c r="G37" s="16" t="s">
        <v>22</v>
      </c>
      <c r="H37" s="13" t="s">
        <v>23</v>
      </c>
      <c r="I37" s="17" t="s">
        <v>24</v>
      </c>
      <c r="J37" s="13" t="s">
        <v>32</v>
      </c>
      <c r="K37" s="16" t="s">
        <v>167</v>
      </c>
      <c r="L37" s="18" t="n">
        <v>15000</v>
      </c>
      <c r="M37" s="19" t="n">
        <f aca="false">L37/(100%+7%)</f>
        <v>14018.691588785</v>
      </c>
      <c r="N37" s="20" t="n">
        <f aca="false">M37/(100%+11.5%)</f>
        <v>12572.8175684171</v>
      </c>
      <c r="O37" s="19" t="n">
        <f aca="false">N37*11.5%</f>
        <v>1445.87402036796</v>
      </c>
      <c r="P37" s="21"/>
      <c r="Q37" s="22" t="s">
        <v>27</v>
      </c>
      <c r="R37" s="21"/>
      <c r="S37" s="23" t="s">
        <v>179</v>
      </c>
      <c r="T37" s="24"/>
      <c r="U37" s="16"/>
      <c r="V37" s="13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</row>
    <row r="38" customFormat="false" ht="15.75" hidden="false" customHeight="false" outlineLevel="0" collapsed="false">
      <c r="A38" s="11" t="n">
        <v>37</v>
      </c>
      <c r="B38" s="12" t="n">
        <v>46269</v>
      </c>
      <c r="C38" s="26" t="s">
        <v>180</v>
      </c>
      <c r="D38" s="14" t="s">
        <v>181</v>
      </c>
      <c r="E38" s="13" t="n">
        <v>42227</v>
      </c>
      <c r="F38" s="15" t="s">
        <v>182</v>
      </c>
      <c r="G38" s="16" t="s">
        <v>63</v>
      </c>
      <c r="H38" s="13" t="s">
        <v>23</v>
      </c>
      <c r="I38" s="17" t="s">
        <v>24</v>
      </c>
      <c r="J38" s="13" t="s">
        <v>32</v>
      </c>
      <c r="K38" s="16" t="s">
        <v>147</v>
      </c>
      <c r="L38" s="18" t="n">
        <v>5000</v>
      </c>
      <c r="M38" s="19" t="n">
        <f aca="false">L38/(100%+7%)</f>
        <v>4672.89719626168</v>
      </c>
      <c r="N38" s="20" t="n">
        <f aca="false">M38/(100%+11.5%)</f>
        <v>4190.93918947236</v>
      </c>
      <c r="O38" s="19" t="n">
        <f aca="false">N38*11.5%</f>
        <v>481.958006789322</v>
      </c>
      <c r="P38" s="21"/>
      <c r="Q38" s="22" t="s">
        <v>27</v>
      </c>
      <c r="R38" s="21"/>
      <c r="S38" s="23" t="s">
        <v>183</v>
      </c>
      <c r="T38" s="24"/>
      <c r="U38" s="16"/>
      <c r="V38" s="13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</row>
    <row r="39" customFormat="false" ht="15.75" hidden="false" customHeight="false" outlineLevel="0" collapsed="false">
      <c r="A39" s="11" t="n">
        <v>38</v>
      </c>
      <c r="B39" s="12" t="n">
        <v>46269</v>
      </c>
      <c r="C39" s="26" t="s">
        <v>184</v>
      </c>
      <c r="D39" s="14" t="s">
        <v>185</v>
      </c>
      <c r="E39" s="13" t="n">
        <v>40113</v>
      </c>
      <c r="F39" s="15" t="s">
        <v>186</v>
      </c>
      <c r="G39" s="16" t="s">
        <v>77</v>
      </c>
      <c r="H39" s="13" t="s">
        <v>23</v>
      </c>
      <c r="I39" s="17" t="s">
        <v>24</v>
      </c>
      <c r="J39" s="13" t="s">
        <v>32</v>
      </c>
      <c r="K39" s="16" t="s">
        <v>147</v>
      </c>
      <c r="L39" s="18" t="n">
        <v>5000</v>
      </c>
      <c r="M39" s="19" t="n">
        <f aca="false">L39/(100%+7%)</f>
        <v>4672.89719626168</v>
      </c>
      <c r="N39" s="20" t="n">
        <f aca="false">M39/(100%+11.5%)</f>
        <v>4190.93918947236</v>
      </c>
      <c r="O39" s="19" t="n">
        <f aca="false">N39*11.5%</f>
        <v>481.958006789322</v>
      </c>
      <c r="P39" s="21"/>
      <c r="Q39" s="22" t="s">
        <v>27</v>
      </c>
      <c r="R39" s="21"/>
      <c r="S39" s="13" t="s">
        <v>187</v>
      </c>
      <c r="T39" s="13"/>
      <c r="U39" s="16"/>
      <c r="V39" s="13"/>
      <c r="W39" s="25"/>
      <c r="X39" s="13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</row>
    <row r="40" customFormat="false" ht="15.75" hidden="false" customHeight="false" outlineLevel="0" collapsed="false">
      <c r="A40" s="11" t="n">
        <v>39</v>
      </c>
      <c r="B40" s="12" t="n">
        <v>46269</v>
      </c>
      <c r="C40" s="26" t="s">
        <v>188</v>
      </c>
      <c r="D40" s="14" t="s">
        <v>189</v>
      </c>
      <c r="E40" s="13" t="n">
        <v>40084</v>
      </c>
      <c r="F40" s="15" t="s">
        <v>190</v>
      </c>
      <c r="G40" s="16" t="s">
        <v>77</v>
      </c>
      <c r="H40" s="13" t="s">
        <v>23</v>
      </c>
      <c r="I40" s="17" t="s">
        <v>24</v>
      </c>
      <c r="J40" s="13" t="s">
        <v>32</v>
      </c>
      <c r="K40" s="16" t="s">
        <v>147</v>
      </c>
      <c r="L40" s="18" t="n">
        <v>5000</v>
      </c>
      <c r="M40" s="19" t="n">
        <f aca="false">L40/(100%+7%)</f>
        <v>4672.89719626168</v>
      </c>
      <c r="N40" s="20" t="n">
        <f aca="false">M40/(100%+11.5%)</f>
        <v>4190.93918947236</v>
      </c>
      <c r="O40" s="19" t="n">
        <f aca="false">N40*11.5%</f>
        <v>481.958006789322</v>
      </c>
      <c r="P40" s="21"/>
      <c r="Q40" s="22" t="s">
        <v>27</v>
      </c>
      <c r="R40" s="21"/>
      <c r="S40" s="13" t="s">
        <v>191</v>
      </c>
      <c r="T40" s="13"/>
      <c r="U40" s="16"/>
      <c r="V40" s="13"/>
      <c r="W40" s="25"/>
      <c r="X40" s="13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</row>
    <row r="41" customFormat="false" ht="15.75" hidden="false" customHeight="false" outlineLevel="0" collapsed="false">
      <c r="A41" s="11" t="n">
        <v>40</v>
      </c>
      <c r="B41" s="12" t="n">
        <v>46269</v>
      </c>
      <c r="C41" s="26" t="s">
        <v>192</v>
      </c>
      <c r="D41" s="14" t="s">
        <v>193</v>
      </c>
      <c r="E41" s="13" t="n">
        <v>70044</v>
      </c>
      <c r="F41" s="15" t="s">
        <v>194</v>
      </c>
      <c r="G41" s="16" t="s">
        <v>77</v>
      </c>
      <c r="H41" s="13" t="s">
        <v>23</v>
      </c>
      <c r="I41" s="17" t="s">
        <v>24</v>
      </c>
      <c r="J41" s="13" t="s">
        <v>32</v>
      </c>
      <c r="K41" s="16" t="s">
        <v>147</v>
      </c>
      <c r="L41" s="18" t="n">
        <v>5000</v>
      </c>
      <c r="M41" s="19" t="n">
        <f aca="false">L41/(100%+7%)</f>
        <v>4672.89719626168</v>
      </c>
      <c r="N41" s="20" t="n">
        <f aca="false">M41/(100%+11.5%)</f>
        <v>4190.93918947236</v>
      </c>
      <c r="O41" s="19" t="n">
        <f aca="false">N41*11.5%</f>
        <v>481.958006789322</v>
      </c>
      <c r="P41" s="21"/>
      <c r="Q41" s="22" t="s">
        <v>27</v>
      </c>
      <c r="R41" s="21"/>
      <c r="S41" s="13" t="s">
        <v>195</v>
      </c>
      <c r="T41" s="13"/>
      <c r="U41" s="16"/>
      <c r="V41" s="13"/>
      <c r="W41" s="25"/>
      <c r="X41" s="13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</row>
    <row r="42" customFormat="false" ht="15.75" hidden="false" customHeight="false" outlineLevel="0" collapsed="false">
      <c r="A42" s="11" t="n">
        <v>41</v>
      </c>
      <c r="B42" s="12" t="n">
        <v>46269</v>
      </c>
      <c r="C42" s="26" t="s">
        <v>196</v>
      </c>
      <c r="D42" s="14" t="s">
        <v>197</v>
      </c>
      <c r="E42" s="13" t="n">
        <v>70104</v>
      </c>
      <c r="F42" s="15" t="s">
        <v>198</v>
      </c>
      <c r="G42" s="16" t="s">
        <v>77</v>
      </c>
      <c r="H42" s="13" t="s">
        <v>23</v>
      </c>
      <c r="I42" s="17" t="s">
        <v>24</v>
      </c>
      <c r="J42" s="13" t="s">
        <v>32</v>
      </c>
      <c r="K42" s="16" t="s">
        <v>147</v>
      </c>
      <c r="L42" s="18" t="n">
        <v>5000</v>
      </c>
      <c r="M42" s="19" t="n">
        <f aca="false">L42/(100%+7%)</f>
        <v>4672.89719626168</v>
      </c>
      <c r="N42" s="20" t="n">
        <f aca="false">M42/(100%+11.5%)</f>
        <v>4190.93918947236</v>
      </c>
      <c r="O42" s="19" t="n">
        <f aca="false">N42*11.5%</f>
        <v>481.958006789322</v>
      </c>
      <c r="P42" s="21"/>
      <c r="Q42" s="22" t="s">
        <v>27</v>
      </c>
      <c r="R42" s="21"/>
      <c r="S42" s="13" t="s">
        <v>199</v>
      </c>
      <c r="T42" s="13"/>
      <c r="U42" s="16"/>
      <c r="V42" s="13"/>
      <c r="W42" s="25"/>
      <c r="X42" s="13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</row>
    <row r="43" customFormat="false" ht="15.75" hidden="false" customHeight="false" outlineLevel="0" collapsed="false">
      <c r="A43" s="11" t="n">
        <v>42</v>
      </c>
      <c r="B43" s="12" t="n">
        <v>46269</v>
      </c>
      <c r="C43" s="26" t="s">
        <v>200</v>
      </c>
      <c r="D43" s="14" t="s">
        <v>201</v>
      </c>
      <c r="E43" s="13" t="n">
        <v>70095</v>
      </c>
      <c r="F43" s="15" t="s">
        <v>202</v>
      </c>
      <c r="G43" s="16" t="s">
        <v>77</v>
      </c>
      <c r="H43" s="13" t="s">
        <v>23</v>
      </c>
      <c r="I43" s="17" t="s">
        <v>24</v>
      </c>
      <c r="J43" s="13" t="s">
        <v>32</v>
      </c>
      <c r="K43" s="16" t="s">
        <v>147</v>
      </c>
      <c r="L43" s="18" t="n">
        <v>5000</v>
      </c>
      <c r="M43" s="19" t="n">
        <f aca="false">L43/(100%+7%)</f>
        <v>4672.89719626168</v>
      </c>
      <c r="N43" s="20" t="n">
        <f aca="false">M43/(100%+11.5%)</f>
        <v>4190.93918947236</v>
      </c>
      <c r="O43" s="19" t="n">
        <f aca="false">N43*11.5%</f>
        <v>481.958006789322</v>
      </c>
      <c r="P43" s="21"/>
      <c r="Q43" s="22" t="s">
        <v>27</v>
      </c>
      <c r="R43" s="21"/>
      <c r="S43" s="13" t="s">
        <v>203</v>
      </c>
      <c r="T43" s="13"/>
      <c r="U43" s="16"/>
      <c r="V43" s="13"/>
      <c r="W43" s="25"/>
      <c r="X43" s="13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</row>
    <row r="44" customFormat="false" ht="15.75" hidden="false" customHeight="false" outlineLevel="0" collapsed="false">
      <c r="A44" s="11" t="n">
        <v>43</v>
      </c>
      <c r="B44" s="12" t="n">
        <v>46272</v>
      </c>
      <c r="C44" s="26" t="s">
        <v>204</v>
      </c>
      <c r="D44" s="14" t="s">
        <v>205</v>
      </c>
      <c r="E44" s="13" t="n">
        <v>40107</v>
      </c>
      <c r="F44" s="15" t="s">
        <v>206</v>
      </c>
      <c r="G44" s="16" t="s">
        <v>77</v>
      </c>
      <c r="H44" s="13" t="s">
        <v>23</v>
      </c>
      <c r="I44" s="17" t="s">
        <v>24</v>
      </c>
      <c r="J44" s="13" t="s">
        <v>32</v>
      </c>
      <c r="K44" s="16" t="s">
        <v>207</v>
      </c>
      <c r="L44" s="18" t="n">
        <v>2000</v>
      </c>
      <c r="M44" s="19" t="n">
        <f aca="false">L44/(100%+7%)</f>
        <v>1869.15887850467</v>
      </c>
      <c r="N44" s="20" t="n">
        <f aca="false">M44/(100%+11.5%)</f>
        <v>1676.37567578894</v>
      </c>
      <c r="O44" s="19" t="n">
        <f aca="false">N44*11.5%</f>
        <v>192.783202715729</v>
      </c>
      <c r="P44" s="21"/>
      <c r="Q44" s="22" t="s">
        <v>27</v>
      </c>
      <c r="R44" s="21"/>
      <c r="S44" s="13" t="s">
        <v>208</v>
      </c>
      <c r="T44" s="13"/>
      <c r="U44" s="16"/>
      <c r="V44" s="13"/>
      <c r="W44" s="25"/>
      <c r="X44" s="13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</row>
    <row r="45" customFormat="false" ht="15.75" hidden="false" customHeight="false" outlineLevel="0" collapsed="false">
      <c r="A45" s="11" t="n">
        <v>44</v>
      </c>
      <c r="B45" s="12" t="n">
        <v>46272</v>
      </c>
      <c r="C45" s="13" t="s">
        <v>209</v>
      </c>
      <c r="D45" s="14" t="s">
        <v>210</v>
      </c>
      <c r="E45" s="13"/>
      <c r="F45" s="15" t="s">
        <v>211</v>
      </c>
      <c r="G45" s="16" t="s">
        <v>63</v>
      </c>
      <c r="H45" s="13" t="s">
        <v>23</v>
      </c>
      <c r="I45" s="17" t="s">
        <v>24</v>
      </c>
      <c r="J45" s="13" t="s">
        <v>32</v>
      </c>
      <c r="K45" s="16" t="s">
        <v>212</v>
      </c>
      <c r="L45" s="18" t="n">
        <v>5000</v>
      </c>
      <c r="M45" s="19" t="n">
        <f aca="false">L45/(100%+7%)</f>
        <v>4672.89719626168</v>
      </c>
      <c r="N45" s="20" t="n">
        <f aca="false">M45/(100%+11.5%)</f>
        <v>4190.93918947236</v>
      </c>
      <c r="O45" s="19" t="n">
        <f aca="false">N45*11.5%</f>
        <v>481.958006789322</v>
      </c>
      <c r="P45" s="21"/>
      <c r="Q45" s="22" t="s">
        <v>27</v>
      </c>
      <c r="R45" s="21"/>
      <c r="S45" s="23" t="s">
        <v>213</v>
      </c>
      <c r="T45" s="13"/>
      <c r="U45" s="16"/>
      <c r="V45" s="13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</row>
    <row r="46" customFormat="false" ht="15.75" hidden="false" customHeight="false" outlineLevel="0" collapsed="false">
      <c r="A46" s="11" t="n">
        <v>45</v>
      </c>
      <c r="B46" s="12" t="n">
        <v>46272</v>
      </c>
      <c r="C46" s="13" t="s">
        <v>214</v>
      </c>
      <c r="D46" s="14" t="s">
        <v>215</v>
      </c>
      <c r="E46" s="13"/>
      <c r="F46" s="15" t="s">
        <v>216</v>
      </c>
      <c r="G46" s="16" t="s">
        <v>63</v>
      </c>
      <c r="H46" s="13" t="s">
        <v>23</v>
      </c>
      <c r="I46" s="17" t="s">
        <v>24</v>
      </c>
      <c r="J46" s="13" t="s">
        <v>32</v>
      </c>
      <c r="K46" s="16" t="s">
        <v>217</v>
      </c>
      <c r="L46" s="18" t="n">
        <v>5000</v>
      </c>
      <c r="M46" s="19" t="n">
        <f aca="false">L46/(100%+7%)</f>
        <v>4672.89719626168</v>
      </c>
      <c r="N46" s="20" t="n">
        <f aca="false">M46/(100%+11.5%)</f>
        <v>4190.93918947236</v>
      </c>
      <c r="O46" s="19" t="n">
        <f aca="false">N46*11.5%</f>
        <v>481.958006789322</v>
      </c>
      <c r="P46" s="21"/>
      <c r="Q46" s="22" t="s">
        <v>27</v>
      </c>
      <c r="R46" s="21"/>
      <c r="S46" s="23" t="s">
        <v>218</v>
      </c>
      <c r="T46" s="24"/>
      <c r="U46" s="16"/>
      <c r="V46" s="13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</row>
    <row r="47" customFormat="false" ht="15.75" hidden="false" customHeight="false" outlineLevel="0" collapsed="false">
      <c r="A47" s="11" t="n">
        <v>46</v>
      </c>
      <c r="B47" s="12" t="n">
        <v>46272</v>
      </c>
      <c r="C47" s="26" t="s">
        <v>219</v>
      </c>
      <c r="D47" s="14" t="s">
        <v>220</v>
      </c>
      <c r="E47" s="13" t="n">
        <v>70125</v>
      </c>
      <c r="F47" s="15" t="s">
        <v>221</v>
      </c>
      <c r="G47" s="16" t="s">
        <v>63</v>
      </c>
      <c r="H47" s="13" t="s">
        <v>23</v>
      </c>
      <c r="I47" s="17" t="s">
        <v>24</v>
      </c>
      <c r="J47" s="13" t="s">
        <v>32</v>
      </c>
      <c r="K47" s="16" t="s">
        <v>217</v>
      </c>
      <c r="L47" s="18" t="n">
        <v>5000</v>
      </c>
      <c r="M47" s="19" t="n">
        <f aca="false">L47/(100%+7%)</f>
        <v>4672.89719626168</v>
      </c>
      <c r="N47" s="20" t="n">
        <f aca="false">M47/(100%+11.5%)</f>
        <v>4190.93918947236</v>
      </c>
      <c r="O47" s="19" t="n">
        <f aca="false">N47*11.5%</f>
        <v>481.958006789322</v>
      </c>
      <c r="P47" s="21"/>
      <c r="Q47" s="22" t="s">
        <v>27</v>
      </c>
      <c r="R47" s="21"/>
      <c r="S47" s="23" t="s">
        <v>222</v>
      </c>
      <c r="T47" s="24"/>
      <c r="U47" s="16"/>
      <c r="V47" s="13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</row>
    <row r="48" customFormat="false" ht="15.75" hidden="false" customHeight="false" outlineLevel="0" collapsed="false">
      <c r="A48" s="11" t="n">
        <v>47</v>
      </c>
      <c r="B48" s="12" t="n">
        <v>46272</v>
      </c>
      <c r="C48" s="27" t="s">
        <v>223</v>
      </c>
      <c r="D48" s="14" t="s">
        <v>224</v>
      </c>
      <c r="E48" s="13" t="n">
        <v>40136</v>
      </c>
      <c r="F48" s="15" t="s">
        <v>225</v>
      </c>
      <c r="G48" s="16" t="s">
        <v>63</v>
      </c>
      <c r="H48" s="13" t="s">
        <v>23</v>
      </c>
      <c r="I48" s="17" t="s">
        <v>24</v>
      </c>
      <c r="J48" s="13" t="s">
        <v>32</v>
      </c>
      <c r="K48" s="16" t="s">
        <v>212</v>
      </c>
      <c r="L48" s="18" t="n">
        <v>2500</v>
      </c>
      <c r="M48" s="19" t="n">
        <f aca="false">L48/(100%+7%)</f>
        <v>2336.44859813084</v>
      </c>
      <c r="N48" s="20" t="n">
        <f aca="false">M48/(100%+11.5%)</f>
        <v>2095.46959473618</v>
      </c>
      <c r="O48" s="19" t="n">
        <f aca="false">N48*11.5%</f>
        <v>240.979003394661</v>
      </c>
      <c r="P48" s="21"/>
      <c r="Q48" s="22" t="s">
        <v>27</v>
      </c>
      <c r="R48" s="21"/>
      <c r="S48" s="23" t="s">
        <v>226</v>
      </c>
      <c r="T48" s="24"/>
      <c r="U48" s="16"/>
      <c r="V48" s="13"/>
      <c r="W48" s="25"/>
      <c r="X48" s="13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</row>
    <row r="49" customFormat="false" ht="15.75" hidden="false" customHeight="false" outlineLevel="0" collapsed="false">
      <c r="A49" s="11" t="n">
        <v>47</v>
      </c>
      <c r="B49" s="12" t="n">
        <v>46272</v>
      </c>
      <c r="C49" s="27" t="s">
        <v>227</v>
      </c>
      <c r="D49" s="14" t="s">
        <v>228</v>
      </c>
      <c r="E49" s="13" t="n">
        <v>70119</v>
      </c>
      <c r="F49" s="15" t="s">
        <v>229</v>
      </c>
      <c r="G49" s="16" t="s">
        <v>63</v>
      </c>
      <c r="H49" s="13" t="s">
        <v>23</v>
      </c>
      <c r="I49" s="17" t="s">
        <v>24</v>
      </c>
      <c r="J49" s="13" t="s">
        <v>32</v>
      </c>
      <c r="K49" s="16" t="s">
        <v>212</v>
      </c>
      <c r="L49" s="18" t="n">
        <v>2500</v>
      </c>
      <c r="M49" s="19" t="n">
        <f aca="false">L49/(100%+7%)</f>
        <v>2336.44859813084</v>
      </c>
      <c r="N49" s="20" t="n">
        <f aca="false">M49/(100%+11.5%)</f>
        <v>2095.46959473618</v>
      </c>
      <c r="O49" s="19" t="n">
        <f aca="false">N49*11.5%</f>
        <v>240.979003394661</v>
      </c>
      <c r="P49" s="21"/>
      <c r="Q49" s="22" t="s">
        <v>27</v>
      </c>
      <c r="R49" s="21"/>
      <c r="S49" s="23" t="s">
        <v>226</v>
      </c>
      <c r="T49" s="24"/>
      <c r="U49" s="16"/>
      <c r="V49" s="13"/>
      <c r="W49" s="25"/>
      <c r="X49" s="13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</row>
    <row r="50" customFormat="false" ht="15.75" hidden="false" customHeight="false" outlineLevel="0" collapsed="false">
      <c r="A50" s="11" t="n">
        <v>48</v>
      </c>
      <c r="B50" s="12" t="n">
        <v>46272</v>
      </c>
      <c r="C50" s="26" t="s">
        <v>144</v>
      </c>
      <c r="D50" s="14" t="s">
        <v>230</v>
      </c>
      <c r="E50" s="13" t="n">
        <v>42223</v>
      </c>
      <c r="F50" s="15" t="s">
        <v>231</v>
      </c>
      <c r="G50" s="16" t="s">
        <v>22</v>
      </c>
      <c r="H50" s="13" t="s">
        <v>23</v>
      </c>
      <c r="I50" s="17" t="s">
        <v>24</v>
      </c>
      <c r="J50" s="13" t="s">
        <v>32</v>
      </c>
      <c r="K50" s="16" t="s">
        <v>232</v>
      </c>
      <c r="L50" s="18" t="n">
        <v>10000</v>
      </c>
      <c r="M50" s="19" t="n">
        <f aca="false">L50/(100%+7%)</f>
        <v>9345.79439252336</v>
      </c>
      <c r="N50" s="20" t="n">
        <f aca="false">M50/(100%+11.5%)</f>
        <v>8381.87837894472</v>
      </c>
      <c r="O50" s="19" t="n">
        <f aca="false">N50*11.5%</f>
        <v>963.916013578643</v>
      </c>
      <c r="P50" s="21"/>
      <c r="Q50" s="22" t="s">
        <v>27</v>
      </c>
      <c r="R50" s="21"/>
      <c r="S50" s="23" t="s">
        <v>233</v>
      </c>
      <c r="T50" s="24"/>
      <c r="U50" s="16"/>
      <c r="V50" s="13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</row>
    <row r="51" customFormat="false" ht="15.75" hidden="false" customHeight="false" outlineLevel="0" collapsed="false">
      <c r="A51" s="11" t="n">
        <v>49</v>
      </c>
      <c r="B51" s="12" t="n">
        <v>46272</v>
      </c>
      <c r="C51" s="27" t="s">
        <v>234</v>
      </c>
      <c r="D51" s="14" t="s">
        <v>235</v>
      </c>
      <c r="E51" s="13" t="n">
        <v>40144</v>
      </c>
      <c r="F51" s="15" t="s">
        <v>236</v>
      </c>
      <c r="G51" s="16" t="s">
        <v>22</v>
      </c>
      <c r="H51" s="13" t="s">
        <v>23</v>
      </c>
      <c r="I51" s="17" t="s">
        <v>24</v>
      </c>
      <c r="J51" s="13" t="s">
        <v>25</v>
      </c>
      <c r="K51" s="16" t="s">
        <v>237</v>
      </c>
      <c r="L51" s="18" t="n">
        <v>5000</v>
      </c>
      <c r="M51" s="19" t="n">
        <f aca="false">L51/(100%+7%)</f>
        <v>4672.89719626168</v>
      </c>
      <c r="N51" s="20" t="n">
        <f aca="false">M51/(100%+11.5%)</f>
        <v>4190.93918947236</v>
      </c>
      <c r="O51" s="19" t="n">
        <f aca="false">N51*11.5%</f>
        <v>481.958006789322</v>
      </c>
      <c r="P51" s="21"/>
      <c r="Q51" s="22" t="s">
        <v>27</v>
      </c>
      <c r="R51" s="21"/>
      <c r="S51" s="23" t="s">
        <v>238</v>
      </c>
      <c r="T51" s="24"/>
      <c r="U51" s="16"/>
      <c r="V51" s="13"/>
      <c r="W51" s="25"/>
      <c r="X51" s="13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</row>
    <row r="52" customFormat="false" ht="15.75" hidden="false" customHeight="false" outlineLevel="0" collapsed="false">
      <c r="A52" s="11" t="n">
        <v>49</v>
      </c>
      <c r="B52" s="12" t="n">
        <v>46272</v>
      </c>
      <c r="C52" s="27" t="s">
        <v>79</v>
      </c>
      <c r="D52" s="14" t="s">
        <v>239</v>
      </c>
      <c r="E52" s="13" t="n">
        <v>70122</v>
      </c>
      <c r="F52" s="15" t="s">
        <v>240</v>
      </c>
      <c r="G52" s="16" t="s">
        <v>22</v>
      </c>
      <c r="H52" s="13" t="s">
        <v>23</v>
      </c>
      <c r="I52" s="17" t="s">
        <v>24</v>
      </c>
      <c r="J52" s="13" t="s">
        <v>25</v>
      </c>
      <c r="K52" s="16" t="s">
        <v>237</v>
      </c>
      <c r="L52" s="18" t="n">
        <v>5000</v>
      </c>
      <c r="M52" s="19" t="n">
        <f aca="false">L52/(100%+7%)</f>
        <v>4672.89719626168</v>
      </c>
      <c r="N52" s="20" t="n">
        <f aca="false">M52/(100%+11.5%)</f>
        <v>4190.93918947236</v>
      </c>
      <c r="O52" s="19" t="n">
        <f aca="false">N52*11.5%</f>
        <v>481.958006789322</v>
      </c>
      <c r="P52" s="21"/>
      <c r="Q52" s="22" t="s">
        <v>27</v>
      </c>
      <c r="R52" s="21"/>
      <c r="S52" s="23" t="s">
        <v>238</v>
      </c>
      <c r="T52" s="24"/>
      <c r="U52" s="16"/>
      <c r="V52" s="13"/>
      <c r="W52" s="25"/>
      <c r="X52" s="13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</row>
    <row r="53" customFormat="false" ht="15.75" hidden="false" customHeight="false" outlineLevel="0" collapsed="false">
      <c r="A53" s="11" t="n">
        <v>50</v>
      </c>
      <c r="B53" s="12" t="n">
        <v>46272</v>
      </c>
      <c r="C53" s="26" t="s">
        <v>124</v>
      </c>
      <c r="D53" s="14" t="s">
        <v>241</v>
      </c>
      <c r="E53" s="13" t="n">
        <v>40148</v>
      </c>
      <c r="F53" s="15" t="s">
        <v>242</v>
      </c>
      <c r="G53" s="16" t="s">
        <v>77</v>
      </c>
      <c r="H53" s="13" t="s">
        <v>23</v>
      </c>
      <c r="I53" s="17" t="s">
        <v>24</v>
      </c>
      <c r="J53" s="13" t="s">
        <v>32</v>
      </c>
      <c r="K53" s="16" t="s">
        <v>207</v>
      </c>
      <c r="L53" s="18" t="n">
        <v>5000</v>
      </c>
      <c r="M53" s="19" t="n">
        <f aca="false">L53/(100%+7%)</f>
        <v>4672.89719626168</v>
      </c>
      <c r="N53" s="20" t="n">
        <f aca="false">M53/(100%+11.5%)</f>
        <v>4190.93918947236</v>
      </c>
      <c r="O53" s="19" t="n">
        <f aca="false">N53*11.5%</f>
        <v>481.958006789322</v>
      </c>
      <c r="P53" s="21"/>
      <c r="Q53" s="22" t="s">
        <v>27</v>
      </c>
      <c r="R53" s="21"/>
      <c r="S53" s="13" t="s">
        <v>243</v>
      </c>
      <c r="T53" s="13"/>
      <c r="U53" s="16"/>
      <c r="V53" s="13"/>
      <c r="W53" s="25"/>
      <c r="X53" s="13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</row>
    <row r="54" customFormat="false" ht="15.75" hidden="false" customHeight="false" outlineLevel="0" collapsed="false">
      <c r="A54" s="11" t="n">
        <v>51</v>
      </c>
      <c r="B54" s="12" t="n">
        <v>46272</v>
      </c>
      <c r="C54" s="26" t="s">
        <v>128</v>
      </c>
      <c r="D54" s="14" t="s">
        <v>244</v>
      </c>
      <c r="E54" s="13" t="n">
        <v>40172</v>
      </c>
      <c r="F54" s="15" t="s">
        <v>245</v>
      </c>
      <c r="G54" s="16" t="s">
        <v>77</v>
      </c>
      <c r="H54" s="13" t="s">
        <v>23</v>
      </c>
      <c r="I54" s="17" t="s">
        <v>24</v>
      </c>
      <c r="J54" s="13" t="s">
        <v>32</v>
      </c>
      <c r="K54" s="16" t="s">
        <v>207</v>
      </c>
      <c r="L54" s="18" t="n">
        <v>5000</v>
      </c>
      <c r="M54" s="19" t="n">
        <f aca="false">L54/(100%+7%)</f>
        <v>4672.89719626168</v>
      </c>
      <c r="N54" s="20" t="n">
        <f aca="false">M54/(100%+11.5%)</f>
        <v>4190.93918947236</v>
      </c>
      <c r="O54" s="19" t="n">
        <f aca="false">N54*11.5%</f>
        <v>481.958006789322</v>
      </c>
      <c r="P54" s="21"/>
      <c r="Q54" s="22" t="s">
        <v>27</v>
      </c>
      <c r="R54" s="21"/>
      <c r="S54" s="13" t="s">
        <v>246</v>
      </c>
      <c r="T54" s="13"/>
      <c r="U54" s="16"/>
      <c r="V54" s="13"/>
      <c r="W54" s="25"/>
      <c r="X54" s="13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</row>
    <row r="55" customFormat="false" ht="15.75" hidden="false" customHeight="false" outlineLevel="0" collapsed="false">
      <c r="A55" s="11" t="n">
        <v>52</v>
      </c>
      <c r="B55" s="12" t="n">
        <v>46272</v>
      </c>
      <c r="C55" s="26" t="s">
        <v>132</v>
      </c>
      <c r="D55" s="14" t="s">
        <v>247</v>
      </c>
      <c r="E55" s="13" t="n">
        <v>40137</v>
      </c>
      <c r="F55" s="15" t="s">
        <v>248</v>
      </c>
      <c r="G55" s="16" t="s">
        <v>77</v>
      </c>
      <c r="H55" s="13" t="s">
        <v>23</v>
      </c>
      <c r="I55" s="17" t="s">
        <v>24</v>
      </c>
      <c r="J55" s="13" t="s">
        <v>32</v>
      </c>
      <c r="K55" s="16" t="s">
        <v>207</v>
      </c>
      <c r="L55" s="18" t="n">
        <v>5000</v>
      </c>
      <c r="M55" s="19" t="n">
        <f aca="false">L55/(100%+7%)</f>
        <v>4672.89719626168</v>
      </c>
      <c r="N55" s="20" t="n">
        <f aca="false">M55/(100%+11.5%)</f>
        <v>4190.93918947236</v>
      </c>
      <c r="O55" s="19" t="n">
        <f aca="false">N55*11.5%</f>
        <v>481.958006789322</v>
      </c>
      <c r="P55" s="21"/>
      <c r="Q55" s="22" t="s">
        <v>27</v>
      </c>
      <c r="R55" s="21"/>
      <c r="S55" s="13" t="s">
        <v>249</v>
      </c>
      <c r="T55" s="13"/>
      <c r="U55" s="16"/>
      <c r="V55" s="13"/>
      <c r="W55" s="25"/>
      <c r="X55" s="13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</row>
    <row r="56" customFormat="false" ht="15.75" hidden="false" customHeight="false" outlineLevel="0" collapsed="false">
      <c r="A56" s="11" t="n">
        <v>53</v>
      </c>
      <c r="B56" s="12" t="n">
        <v>46272</v>
      </c>
      <c r="C56" s="26" t="s">
        <v>136</v>
      </c>
      <c r="D56" s="14" t="s">
        <v>250</v>
      </c>
      <c r="E56" s="13" t="n">
        <v>70065</v>
      </c>
      <c r="F56" s="15" t="s">
        <v>251</v>
      </c>
      <c r="G56" s="16" t="s">
        <v>77</v>
      </c>
      <c r="H56" s="13" t="s">
        <v>23</v>
      </c>
      <c r="I56" s="17" t="s">
        <v>24</v>
      </c>
      <c r="J56" s="13" t="s">
        <v>32</v>
      </c>
      <c r="K56" s="16" t="s">
        <v>207</v>
      </c>
      <c r="L56" s="18" t="n">
        <v>5000</v>
      </c>
      <c r="M56" s="19" t="n">
        <f aca="false">L56/(100%+7%)</f>
        <v>4672.89719626168</v>
      </c>
      <c r="N56" s="20" t="n">
        <f aca="false">M56/(100%+11.5%)</f>
        <v>4190.93918947236</v>
      </c>
      <c r="O56" s="19" t="n">
        <f aca="false">N56*11.5%</f>
        <v>481.958006789322</v>
      </c>
      <c r="P56" s="21"/>
      <c r="Q56" s="22" t="s">
        <v>27</v>
      </c>
      <c r="R56" s="21"/>
      <c r="S56" s="13" t="s">
        <v>252</v>
      </c>
      <c r="T56" s="13"/>
      <c r="U56" s="16"/>
      <c r="V56" s="13"/>
      <c r="W56" s="25"/>
      <c r="X56" s="13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</row>
    <row r="57" customFormat="false" ht="15.75" hidden="false" customHeight="false" outlineLevel="0" collapsed="false">
      <c r="A57" s="11" t="n">
        <v>54</v>
      </c>
      <c r="B57" s="12" t="n">
        <v>46272</v>
      </c>
      <c r="C57" s="26" t="s">
        <v>136</v>
      </c>
      <c r="D57" s="14" t="s">
        <v>253</v>
      </c>
      <c r="E57" s="13" t="n">
        <v>70065</v>
      </c>
      <c r="F57" s="15" t="s">
        <v>254</v>
      </c>
      <c r="G57" s="16" t="s">
        <v>77</v>
      </c>
      <c r="H57" s="13" t="s">
        <v>23</v>
      </c>
      <c r="I57" s="17" t="s">
        <v>24</v>
      </c>
      <c r="J57" s="13" t="s">
        <v>32</v>
      </c>
      <c r="K57" s="16" t="s">
        <v>207</v>
      </c>
      <c r="L57" s="18" t="n">
        <v>5000</v>
      </c>
      <c r="M57" s="19" t="n">
        <f aca="false">L57/(100%+7%)</f>
        <v>4672.89719626168</v>
      </c>
      <c r="N57" s="20" t="n">
        <f aca="false">M57/(100%+11.5%)</f>
        <v>4190.93918947236</v>
      </c>
      <c r="O57" s="19" t="n">
        <f aca="false">N57*11.5%</f>
        <v>481.958006789322</v>
      </c>
      <c r="P57" s="21"/>
      <c r="Q57" s="22" t="s">
        <v>27</v>
      </c>
      <c r="R57" s="21"/>
      <c r="S57" s="13" t="s">
        <v>255</v>
      </c>
      <c r="T57" s="13"/>
      <c r="U57" s="16"/>
      <c r="V57" s="13"/>
      <c r="W57" s="25"/>
      <c r="X57" s="13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</row>
    <row r="58" customFormat="false" ht="15.75" hidden="false" customHeight="false" outlineLevel="0" collapsed="false">
      <c r="A58" s="11" t="n">
        <v>55</v>
      </c>
      <c r="B58" s="12" t="n">
        <v>46273</v>
      </c>
      <c r="C58" s="26" t="s">
        <v>188</v>
      </c>
      <c r="D58" s="14" t="s">
        <v>256</v>
      </c>
      <c r="E58" s="13" t="n">
        <v>40084</v>
      </c>
      <c r="F58" s="15" t="s">
        <v>257</v>
      </c>
      <c r="G58" s="16" t="s">
        <v>22</v>
      </c>
      <c r="H58" s="13" t="s">
        <v>23</v>
      </c>
      <c r="I58" s="17" t="s">
        <v>24</v>
      </c>
      <c r="J58" s="13" t="s">
        <v>25</v>
      </c>
      <c r="K58" s="16" t="s">
        <v>258</v>
      </c>
      <c r="L58" s="18" t="n">
        <v>10000</v>
      </c>
      <c r="M58" s="19" t="n">
        <f aca="false">L58/(100%+7%)</f>
        <v>9345.79439252336</v>
      </c>
      <c r="N58" s="20" t="n">
        <f aca="false">M58/(100%+11.5%)</f>
        <v>8381.87837894472</v>
      </c>
      <c r="O58" s="19" t="n">
        <f aca="false">N58*11.5%</f>
        <v>963.916013578643</v>
      </c>
      <c r="P58" s="21"/>
      <c r="Q58" s="22" t="s">
        <v>27</v>
      </c>
      <c r="R58" s="21"/>
      <c r="S58" s="23" t="s">
        <v>259</v>
      </c>
      <c r="T58" s="24"/>
      <c r="U58" s="16"/>
      <c r="V58" s="13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</row>
    <row r="59" customFormat="false" ht="15.75" hidden="false" customHeight="false" outlineLevel="0" collapsed="false">
      <c r="A59" s="11" t="n">
        <v>56</v>
      </c>
      <c r="B59" s="12" t="n">
        <v>46273</v>
      </c>
      <c r="C59" s="13" t="s">
        <v>260</v>
      </c>
      <c r="D59" s="14" t="s">
        <v>261</v>
      </c>
      <c r="E59" s="13"/>
      <c r="F59" s="15" t="s">
        <v>262</v>
      </c>
      <c r="G59" s="16" t="s">
        <v>22</v>
      </c>
      <c r="H59" s="13" t="s">
        <v>23</v>
      </c>
      <c r="I59" s="17" t="s">
        <v>24</v>
      </c>
      <c r="J59" s="13" t="s">
        <v>32</v>
      </c>
      <c r="K59" s="16" t="s">
        <v>232</v>
      </c>
      <c r="L59" s="18" t="n">
        <v>10000</v>
      </c>
      <c r="M59" s="19" t="n">
        <f aca="false">L59/(100%+7%)</f>
        <v>9345.79439252336</v>
      </c>
      <c r="N59" s="20" t="n">
        <f aca="false">M59/(100%+11.5%)</f>
        <v>8381.87837894472</v>
      </c>
      <c r="O59" s="19" t="n">
        <f aca="false">N59*11.5%</f>
        <v>963.916013578643</v>
      </c>
      <c r="P59" s="21"/>
      <c r="Q59" s="22" t="s">
        <v>27</v>
      </c>
      <c r="R59" s="21"/>
      <c r="S59" s="23" t="s">
        <v>263</v>
      </c>
      <c r="T59" s="24"/>
      <c r="U59" s="16"/>
      <c r="V59" s="13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</row>
    <row r="60" customFormat="false" ht="15.75" hidden="false" customHeight="false" outlineLevel="0" collapsed="false">
      <c r="A60" s="11" t="n">
        <v>57</v>
      </c>
      <c r="B60" s="12" t="n">
        <v>46273</v>
      </c>
      <c r="C60" s="26" t="s">
        <v>144</v>
      </c>
      <c r="D60" s="14" t="s">
        <v>264</v>
      </c>
      <c r="E60" s="13" t="n">
        <v>42223</v>
      </c>
      <c r="F60" s="15" t="s">
        <v>265</v>
      </c>
      <c r="G60" s="16" t="s">
        <v>22</v>
      </c>
      <c r="H60" s="13" t="s">
        <v>23</v>
      </c>
      <c r="I60" s="17" t="s">
        <v>24</v>
      </c>
      <c r="J60" s="13" t="s">
        <v>32</v>
      </c>
      <c r="K60" s="16" t="s">
        <v>266</v>
      </c>
      <c r="L60" s="18" t="n">
        <v>10000</v>
      </c>
      <c r="M60" s="19" t="n">
        <f aca="false">L60/(100%+7%)</f>
        <v>9345.79439252336</v>
      </c>
      <c r="N60" s="20" t="n">
        <f aca="false">M60/(100%+11.5%)</f>
        <v>8381.87837894472</v>
      </c>
      <c r="O60" s="19" t="n">
        <f aca="false">N60*11.5%</f>
        <v>963.916013578643</v>
      </c>
      <c r="P60" s="21"/>
      <c r="Q60" s="22" t="s">
        <v>27</v>
      </c>
      <c r="R60" s="21"/>
      <c r="S60" s="23" t="s">
        <v>267</v>
      </c>
      <c r="T60" s="24"/>
      <c r="U60" s="16"/>
      <c r="V60" s="13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</row>
    <row r="61" customFormat="false" ht="15.75" hidden="false" customHeight="false" outlineLevel="0" collapsed="false">
      <c r="A61" s="11" t="n">
        <v>58</v>
      </c>
      <c r="B61" s="12" t="n">
        <v>46273</v>
      </c>
      <c r="C61" s="26" t="s">
        <v>180</v>
      </c>
      <c r="D61" s="14" t="s">
        <v>268</v>
      </c>
      <c r="E61" s="13" t="n">
        <v>42227</v>
      </c>
      <c r="F61" s="15" t="s">
        <v>269</v>
      </c>
      <c r="G61" s="16" t="s">
        <v>63</v>
      </c>
      <c r="H61" s="13" t="s">
        <v>23</v>
      </c>
      <c r="I61" s="17" t="s">
        <v>24</v>
      </c>
      <c r="J61" s="13" t="s">
        <v>32</v>
      </c>
      <c r="K61" s="16" t="s">
        <v>266</v>
      </c>
      <c r="L61" s="18" t="n">
        <v>2000</v>
      </c>
      <c r="M61" s="19" t="n">
        <f aca="false">L61/(100%+7%)</f>
        <v>1869.15887850467</v>
      </c>
      <c r="N61" s="20" t="n">
        <f aca="false">M61/(100%+11.5%)</f>
        <v>1676.37567578894</v>
      </c>
      <c r="O61" s="19" t="n">
        <f aca="false">N61*11.5%</f>
        <v>192.783202715729</v>
      </c>
      <c r="P61" s="21"/>
      <c r="Q61" s="22" t="s">
        <v>27</v>
      </c>
      <c r="R61" s="21"/>
      <c r="S61" s="23" t="s">
        <v>270</v>
      </c>
      <c r="T61" s="24"/>
      <c r="U61" s="16"/>
      <c r="V61" s="13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</row>
    <row r="62" customFormat="false" ht="15.75" hidden="false" customHeight="false" outlineLevel="0" collapsed="false">
      <c r="A62" s="11" t="n">
        <v>59</v>
      </c>
      <c r="B62" s="12" t="n">
        <v>46273</v>
      </c>
      <c r="C62" s="26" t="s">
        <v>180</v>
      </c>
      <c r="D62" s="14" t="s">
        <v>271</v>
      </c>
      <c r="E62" s="13" t="n">
        <v>42227</v>
      </c>
      <c r="F62" s="15" t="s">
        <v>272</v>
      </c>
      <c r="G62" s="16" t="s">
        <v>63</v>
      </c>
      <c r="H62" s="13" t="s">
        <v>23</v>
      </c>
      <c r="I62" s="17" t="s">
        <v>24</v>
      </c>
      <c r="J62" s="13" t="s">
        <v>32</v>
      </c>
      <c r="K62" s="16" t="s">
        <v>266</v>
      </c>
      <c r="L62" s="18" t="n">
        <v>2000</v>
      </c>
      <c r="M62" s="19" t="n">
        <f aca="false">L62/(100%+7%)</f>
        <v>1869.15887850467</v>
      </c>
      <c r="N62" s="20" t="n">
        <f aca="false">M62/(100%+11.5%)</f>
        <v>1676.37567578894</v>
      </c>
      <c r="O62" s="19" t="n">
        <f aca="false">N62*11.5%</f>
        <v>192.783202715729</v>
      </c>
      <c r="P62" s="21"/>
      <c r="Q62" s="22" t="s">
        <v>27</v>
      </c>
      <c r="R62" s="21"/>
      <c r="S62" s="23" t="s">
        <v>273</v>
      </c>
      <c r="T62" s="24"/>
      <c r="U62" s="16"/>
      <c r="V62" s="13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</row>
    <row r="63" customFormat="false" ht="15.75" hidden="false" customHeight="false" outlineLevel="0" collapsed="false">
      <c r="A63" s="11" t="n">
        <v>60</v>
      </c>
      <c r="B63" s="12" t="n">
        <v>46273</v>
      </c>
      <c r="C63" s="26" t="s">
        <v>180</v>
      </c>
      <c r="D63" s="14" t="s">
        <v>274</v>
      </c>
      <c r="E63" s="13" t="n">
        <v>42227</v>
      </c>
      <c r="F63" s="15" t="s">
        <v>275</v>
      </c>
      <c r="G63" s="16" t="s">
        <v>63</v>
      </c>
      <c r="H63" s="13" t="s">
        <v>23</v>
      </c>
      <c r="I63" s="17" t="s">
        <v>24</v>
      </c>
      <c r="J63" s="13" t="s">
        <v>32</v>
      </c>
      <c r="K63" s="16" t="s">
        <v>266</v>
      </c>
      <c r="L63" s="18" t="n">
        <v>2000</v>
      </c>
      <c r="M63" s="19" t="n">
        <f aca="false">L63/(100%+7%)</f>
        <v>1869.15887850467</v>
      </c>
      <c r="N63" s="20" t="n">
        <f aca="false">M63/(100%+11.5%)</f>
        <v>1676.37567578894</v>
      </c>
      <c r="O63" s="19" t="n">
        <f aca="false">N63*11.5%</f>
        <v>192.783202715729</v>
      </c>
      <c r="P63" s="21"/>
      <c r="Q63" s="22" t="s">
        <v>27</v>
      </c>
      <c r="R63" s="21"/>
      <c r="S63" s="23" t="s">
        <v>276</v>
      </c>
      <c r="T63" s="24"/>
      <c r="U63" s="16"/>
      <c r="V63" s="13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</row>
    <row r="64" customFormat="false" ht="15.75" hidden="false" customHeight="false" outlineLevel="0" collapsed="false">
      <c r="A64" s="11" t="n">
        <v>61</v>
      </c>
      <c r="B64" s="12" t="n">
        <v>46273</v>
      </c>
      <c r="C64" s="26" t="s">
        <v>180</v>
      </c>
      <c r="D64" s="14" t="s">
        <v>277</v>
      </c>
      <c r="E64" s="13" t="n">
        <v>42227</v>
      </c>
      <c r="F64" s="15" t="s">
        <v>278</v>
      </c>
      <c r="G64" s="16" t="s">
        <v>63</v>
      </c>
      <c r="H64" s="13" t="s">
        <v>23</v>
      </c>
      <c r="I64" s="17" t="s">
        <v>24</v>
      </c>
      <c r="J64" s="13" t="s">
        <v>32</v>
      </c>
      <c r="K64" s="16" t="s">
        <v>266</v>
      </c>
      <c r="L64" s="18" t="n">
        <v>2000</v>
      </c>
      <c r="M64" s="19" t="n">
        <f aca="false">L64/(100%+7%)</f>
        <v>1869.15887850467</v>
      </c>
      <c r="N64" s="20" t="n">
        <f aca="false">M64/(100%+11.5%)</f>
        <v>1676.37567578894</v>
      </c>
      <c r="O64" s="19" t="n">
        <f aca="false">N64*11.5%</f>
        <v>192.783202715729</v>
      </c>
      <c r="P64" s="21"/>
      <c r="Q64" s="22" t="s">
        <v>27</v>
      </c>
      <c r="R64" s="21"/>
      <c r="S64" s="23" t="s">
        <v>279</v>
      </c>
      <c r="T64" s="24"/>
      <c r="U64" s="16"/>
      <c r="V64" s="13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</row>
    <row r="65" customFormat="false" ht="15.75" hidden="false" customHeight="false" outlineLevel="0" collapsed="false">
      <c r="A65" s="11" t="n">
        <v>62</v>
      </c>
      <c r="B65" s="12" t="n">
        <v>46273</v>
      </c>
      <c r="C65" s="26" t="s">
        <v>280</v>
      </c>
      <c r="D65" s="14" t="s">
        <v>281</v>
      </c>
      <c r="E65" s="13" t="s">
        <v>282</v>
      </c>
      <c r="F65" s="15" t="s">
        <v>283</v>
      </c>
      <c r="G65" s="16" t="s">
        <v>77</v>
      </c>
      <c r="H65" s="13" t="s">
        <v>23</v>
      </c>
      <c r="I65" s="17" t="s">
        <v>24</v>
      </c>
      <c r="J65" s="13" t="s">
        <v>32</v>
      </c>
      <c r="K65" s="16" t="s">
        <v>266</v>
      </c>
      <c r="L65" s="18" t="n">
        <v>5000</v>
      </c>
      <c r="M65" s="19" t="n">
        <f aca="false">L65/(100%+7%)</f>
        <v>4672.89719626168</v>
      </c>
      <c r="N65" s="20" t="n">
        <f aca="false">M65/(100%+11.5%)</f>
        <v>4190.93918947236</v>
      </c>
      <c r="O65" s="19" t="n">
        <f aca="false">N65*11.5%</f>
        <v>481.958006789322</v>
      </c>
      <c r="P65" s="21"/>
      <c r="Q65" s="22" t="s">
        <v>27</v>
      </c>
      <c r="R65" s="21"/>
      <c r="S65" s="13" t="s">
        <v>284</v>
      </c>
      <c r="T65" s="13"/>
      <c r="U65" s="16"/>
      <c r="V65" s="13"/>
      <c r="W65" s="25"/>
      <c r="X65" s="13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</row>
    <row r="66" customFormat="false" ht="15.75" hidden="false" customHeight="false" outlineLevel="0" collapsed="false">
      <c r="A66" s="11" t="n">
        <v>63</v>
      </c>
      <c r="B66" s="12" t="n">
        <v>46273</v>
      </c>
      <c r="C66" s="26" t="s">
        <v>285</v>
      </c>
      <c r="D66" s="14" t="s">
        <v>286</v>
      </c>
      <c r="E66" s="13" t="n">
        <v>40075</v>
      </c>
      <c r="F66" s="15" t="s">
        <v>287</v>
      </c>
      <c r="G66" s="16" t="s">
        <v>77</v>
      </c>
      <c r="H66" s="13" t="s">
        <v>23</v>
      </c>
      <c r="I66" s="17" t="s">
        <v>24</v>
      </c>
      <c r="J66" s="13" t="s">
        <v>32</v>
      </c>
      <c r="K66" s="16" t="s">
        <v>288</v>
      </c>
      <c r="L66" s="18" t="n">
        <v>10000</v>
      </c>
      <c r="M66" s="19" t="n">
        <f aca="false">L66/(100%+7%)</f>
        <v>9345.79439252336</v>
      </c>
      <c r="N66" s="20" t="n">
        <f aca="false">M66/(100%+11.5%)</f>
        <v>8381.87837894472</v>
      </c>
      <c r="O66" s="19" t="n">
        <f aca="false">N66*11.5%</f>
        <v>963.916013578643</v>
      </c>
      <c r="P66" s="21"/>
      <c r="Q66" s="22" t="s">
        <v>27</v>
      </c>
      <c r="R66" s="21"/>
      <c r="S66" s="13" t="s">
        <v>289</v>
      </c>
      <c r="T66" s="13"/>
      <c r="U66" s="16"/>
      <c r="V66" s="13"/>
      <c r="W66" s="25"/>
      <c r="X66" s="13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</row>
    <row r="67" customFormat="false" ht="15.75" hidden="false" customHeight="false" outlineLevel="0" collapsed="false">
      <c r="A67" s="11" t="n">
        <v>64</v>
      </c>
      <c r="B67" s="12" t="n">
        <v>46273</v>
      </c>
      <c r="C67" s="26" t="s">
        <v>290</v>
      </c>
      <c r="D67" s="14" t="s">
        <v>291</v>
      </c>
      <c r="E67" s="13" t="n">
        <v>40139</v>
      </c>
      <c r="F67" s="15" t="s">
        <v>292</v>
      </c>
      <c r="G67" s="16" t="s">
        <v>77</v>
      </c>
      <c r="H67" s="13" t="s">
        <v>23</v>
      </c>
      <c r="I67" s="17" t="s">
        <v>24</v>
      </c>
      <c r="J67" s="13" t="s">
        <v>32</v>
      </c>
      <c r="K67" s="16" t="s">
        <v>266</v>
      </c>
      <c r="L67" s="18" t="n">
        <v>5000</v>
      </c>
      <c r="M67" s="19" t="n">
        <f aca="false">L67/(100%+7%)</f>
        <v>4672.89719626168</v>
      </c>
      <c r="N67" s="20" t="n">
        <f aca="false">M67/(100%+11.5%)</f>
        <v>4190.93918947236</v>
      </c>
      <c r="O67" s="19" t="n">
        <f aca="false">N67*11.5%</f>
        <v>481.958006789322</v>
      </c>
      <c r="P67" s="21"/>
      <c r="Q67" s="22" t="s">
        <v>27</v>
      </c>
      <c r="R67" s="21"/>
      <c r="S67" s="13" t="s">
        <v>293</v>
      </c>
      <c r="T67" s="13"/>
      <c r="U67" s="16"/>
      <c r="V67" s="13"/>
      <c r="W67" s="25"/>
      <c r="X67" s="13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</row>
    <row r="68" customFormat="false" ht="15.75" hidden="false" customHeight="false" outlineLevel="0" collapsed="false">
      <c r="A68" s="11" t="n">
        <v>65</v>
      </c>
      <c r="B68" s="12" t="n">
        <v>46274</v>
      </c>
      <c r="C68" s="13" t="s">
        <v>294</v>
      </c>
      <c r="D68" s="14" t="s">
        <v>295</v>
      </c>
      <c r="E68" s="13"/>
      <c r="F68" s="15" t="s">
        <v>296</v>
      </c>
      <c r="G68" s="16" t="s">
        <v>297</v>
      </c>
      <c r="H68" s="13" t="s">
        <v>23</v>
      </c>
      <c r="I68" s="28" t="s">
        <v>298</v>
      </c>
      <c r="J68" s="13" t="s">
        <v>25</v>
      </c>
      <c r="K68" s="16" t="s">
        <v>212</v>
      </c>
      <c r="L68" s="18" t="n">
        <v>5000</v>
      </c>
      <c r="M68" s="19" t="n">
        <f aca="false">L68/(100%+7%)</f>
        <v>4672.89719626168</v>
      </c>
      <c r="N68" s="20" t="n">
        <f aca="false">M68/(100%+11.5%)</f>
        <v>4190.93918947236</v>
      </c>
      <c r="O68" s="19" t="n">
        <f aca="false">N68*11.5%</f>
        <v>481.958006789322</v>
      </c>
      <c r="P68" s="21"/>
      <c r="Q68" s="22" t="s">
        <v>27</v>
      </c>
      <c r="R68" s="21"/>
      <c r="S68" s="23" t="s">
        <v>299</v>
      </c>
      <c r="T68" s="25"/>
      <c r="U68" s="16"/>
      <c r="V68" s="13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</row>
    <row r="69" customFormat="false" ht="15.75" hidden="false" customHeight="false" outlineLevel="0" collapsed="false">
      <c r="A69" s="11" t="n">
        <v>66</v>
      </c>
      <c r="B69" s="12" t="n">
        <v>46274</v>
      </c>
      <c r="C69" s="13" t="s">
        <v>300</v>
      </c>
      <c r="D69" s="14" t="s">
        <v>301</v>
      </c>
      <c r="E69" s="13"/>
      <c r="F69" s="15" t="s">
        <v>302</v>
      </c>
      <c r="G69" s="16" t="s">
        <v>297</v>
      </c>
      <c r="H69" s="13" t="s">
        <v>23</v>
      </c>
      <c r="I69" s="28" t="s">
        <v>298</v>
      </c>
      <c r="J69" s="13" t="s">
        <v>25</v>
      </c>
      <c r="K69" s="16" t="s">
        <v>212</v>
      </c>
      <c r="L69" s="18" t="n">
        <v>5000</v>
      </c>
      <c r="M69" s="19" t="n">
        <f aca="false">L69/(100%+7%)</f>
        <v>4672.89719626168</v>
      </c>
      <c r="N69" s="20" t="n">
        <f aca="false">M69/(100%+11.5%)</f>
        <v>4190.93918947236</v>
      </c>
      <c r="O69" s="19" t="n">
        <f aca="false">N69*11.5%</f>
        <v>481.958006789322</v>
      </c>
      <c r="P69" s="21"/>
      <c r="Q69" s="22" t="s">
        <v>27</v>
      </c>
      <c r="R69" s="21"/>
      <c r="S69" s="23" t="s">
        <v>303</v>
      </c>
      <c r="T69" s="25"/>
      <c r="U69" s="16"/>
      <c r="V69" s="13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</row>
    <row r="70" customFormat="false" ht="15.75" hidden="false" customHeight="false" outlineLevel="0" collapsed="false">
      <c r="A70" s="11" t="n">
        <v>67</v>
      </c>
      <c r="B70" s="12" t="n">
        <v>46274</v>
      </c>
      <c r="C70" s="26" t="s">
        <v>120</v>
      </c>
      <c r="D70" s="14" t="s">
        <v>304</v>
      </c>
      <c r="E70" s="13" t="n">
        <v>70081</v>
      </c>
      <c r="F70" s="15" t="s">
        <v>305</v>
      </c>
      <c r="G70" s="16" t="s">
        <v>77</v>
      </c>
      <c r="H70" s="13" t="s">
        <v>23</v>
      </c>
      <c r="I70" s="17" t="s">
        <v>24</v>
      </c>
      <c r="J70" s="13" t="s">
        <v>32</v>
      </c>
      <c r="K70" s="16" t="s">
        <v>306</v>
      </c>
      <c r="L70" s="18" t="n">
        <v>5000</v>
      </c>
      <c r="M70" s="19" t="n">
        <f aca="false">L70/(100%+7%)</f>
        <v>4672.89719626168</v>
      </c>
      <c r="N70" s="20" t="n">
        <f aca="false">M70/(100%+11.5%)</f>
        <v>4190.93918947236</v>
      </c>
      <c r="O70" s="19" t="n">
        <f aca="false">N70*11.5%</f>
        <v>481.958006789322</v>
      </c>
      <c r="P70" s="21"/>
      <c r="Q70" s="22" t="s">
        <v>27</v>
      </c>
      <c r="R70" s="21"/>
      <c r="S70" s="13" t="s">
        <v>307</v>
      </c>
      <c r="T70" s="13"/>
      <c r="U70" s="16"/>
      <c r="V70" s="13"/>
      <c r="W70" s="25"/>
      <c r="X70" s="13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</row>
    <row r="71" customFormat="false" ht="15.75" hidden="false" customHeight="false" outlineLevel="0" collapsed="false">
      <c r="A71" s="11" t="n">
        <v>68</v>
      </c>
      <c r="B71" s="12" t="n">
        <v>46274</v>
      </c>
      <c r="C71" s="26" t="s">
        <v>115</v>
      </c>
      <c r="D71" s="14" t="s">
        <v>308</v>
      </c>
      <c r="E71" s="13" t="n">
        <v>40163</v>
      </c>
      <c r="F71" s="15" t="s">
        <v>309</v>
      </c>
      <c r="G71" s="16" t="s">
        <v>77</v>
      </c>
      <c r="H71" s="13" t="s">
        <v>23</v>
      </c>
      <c r="I71" s="17" t="s">
        <v>24</v>
      </c>
      <c r="J71" s="13" t="s">
        <v>32</v>
      </c>
      <c r="K71" s="16" t="s">
        <v>306</v>
      </c>
      <c r="L71" s="18" t="n">
        <v>5000</v>
      </c>
      <c r="M71" s="19" t="n">
        <f aca="false">L71/(100%+7%)</f>
        <v>4672.89719626168</v>
      </c>
      <c r="N71" s="20" t="n">
        <f aca="false">M71/(100%+11.5%)</f>
        <v>4190.93918947236</v>
      </c>
      <c r="O71" s="19" t="n">
        <f aca="false">N71*11.5%</f>
        <v>481.958006789322</v>
      </c>
      <c r="P71" s="21"/>
      <c r="Q71" s="22" t="s">
        <v>27</v>
      </c>
      <c r="R71" s="21"/>
      <c r="S71" s="13" t="s">
        <v>310</v>
      </c>
      <c r="T71" s="13"/>
      <c r="U71" s="16"/>
      <c r="V71" s="13"/>
      <c r="W71" s="25"/>
      <c r="X71" s="13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</row>
    <row r="72" customFormat="false" ht="15.75" hidden="false" customHeight="false" outlineLevel="0" collapsed="false">
      <c r="A72" s="11" t="n">
        <v>69</v>
      </c>
      <c r="B72" s="12" t="n">
        <v>46274</v>
      </c>
      <c r="C72" s="26" t="s">
        <v>149</v>
      </c>
      <c r="D72" s="14" t="s">
        <v>311</v>
      </c>
      <c r="E72" s="13" t="n">
        <v>42226</v>
      </c>
      <c r="F72" s="15" t="s">
        <v>312</v>
      </c>
      <c r="G72" s="16" t="s">
        <v>63</v>
      </c>
      <c r="H72" s="13" t="s">
        <v>23</v>
      </c>
      <c r="I72" s="17" t="s">
        <v>24</v>
      </c>
      <c r="J72" s="13" t="s">
        <v>32</v>
      </c>
      <c r="K72" s="16" t="s">
        <v>313</v>
      </c>
      <c r="L72" s="18" t="n">
        <v>5000</v>
      </c>
      <c r="M72" s="19" t="n">
        <f aca="false">L72/(100%+7%)</f>
        <v>4672.89719626168</v>
      </c>
      <c r="N72" s="20" t="n">
        <f aca="false">M72/(100%+11.5%)</f>
        <v>4190.93918947236</v>
      </c>
      <c r="O72" s="19" t="n">
        <f aca="false">N72*11.5%</f>
        <v>481.958006789322</v>
      </c>
      <c r="P72" s="21"/>
      <c r="Q72" s="22" t="s">
        <v>27</v>
      </c>
      <c r="R72" s="21"/>
      <c r="S72" s="23" t="s">
        <v>314</v>
      </c>
      <c r="T72" s="24"/>
      <c r="U72" s="16"/>
      <c r="V72" s="13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</row>
    <row r="73" customFormat="false" ht="15.75" hidden="false" customHeight="false" outlineLevel="0" collapsed="false">
      <c r="A73" s="11" t="n">
        <v>70</v>
      </c>
      <c r="B73" s="12" t="n">
        <v>46274</v>
      </c>
      <c r="C73" s="26" t="s">
        <v>315</v>
      </c>
      <c r="D73" s="14" t="s">
        <v>316</v>
      </c>
      <c r="E73" s="13" t="s">
        <v>317</v>
      </c>
      <c r="F73" s="15" t="s">
        <v>318</v>
      </c>
      <c r="G73" s="16" t="s">
        <v>63</v>
      </c>
      <c r="H73" s="13" t="s">
        <v>23</v>
      </c>
      <c r="I73" s="17" t="s">
        <v>24</v>
      </c>
      <c r="J73" s="13" t="s">
        <v>32</v>
      </c>
      <c r="K73" s="16" t="s">
        <v>319</v>
      </c>
      <c r="L73" s="18" t="n">
        <v>5000</v>
      </c>
      <c r="M73" s="19" t="n">
        <f aca="false">L73/(100%+7%)</f>
        <v>4672.89719626168</v>
      </c>
      <c r="N73" s="20" t="n">
        <f aca="false">M73/(100%+11.5%)</f>
        <v>4190.93918947236</v>
      </c>
      <c r="O73" s="19" t="n">
        <f aca="false">N73*11.5%</f>
        <v>481.958006789322</v>
      </c>
      <c r="P73" s="21"/>
      <c r="Q73" s="22" t="s">
        <v>27</v>
      </c>
      <c r="R73" s="21"/>
      <c r="S73" s="23" t="s">
        <v>320</v>
      </c>
      <c r="T73" s="24"/>
      <c r="U73" s="16"/>
      <c r="V73" s="13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</row>
    <row r="74" customFormat="false" ht="15.75" hidden="false" customHeight="false" outlineLevel="0" collapsed="false">
      <c r="A74" s="11" t="n">
        <v>71</v>
      </c>
      <c r="B74" s="12" t="n">
        <v>46274</v>
      </c>
      <c r="C74" s="26" t="s">
        <v>315</v>
      </c>
      <c r="D74" s="14" t="s">
        <v>321</v>
      </c>
      <c r="E74" s="13" t="s">
        <v>317</v>
      </c>
      <c r="F74" s="15" t="s">
        <v>322</v>
      </c>
      <c r="G74" s="16" t="s">
        <v>63</v>
      </c>
      <c r="H74" s="13" t="s">
        <v>23</v>
      </c>
      <c r="I74" s="17" t="s">
        <v>24</v>
      </c>
      <c r="J74" s="13" t="s">
        <v>32</v>
      </c>
      <c r="K74" s="16" t="s">
        <v>313</v>
      </c>
      <c r="L74" s="18" t="n">
        <v>5000</v>
      </c>
      <c r="M74" s="19" t="n">
        <f aca="false">L74/(100%+7%)</f>
        <v>4672.89719626168</v>
      </c>
      <c r="N74" s="20" t="n">
        <f aca="false">M74/(100%+11.5%)</f>
        <v>4190.93918947236</v>
      </c>
      <c r="O74" s="19" t="n">
        <f aca="false">N74*11.5%</f>
        <v>481.958006789322</v>
      </c>
      <c r="P74" s="21"/>
      <c r="Q74" s="22" t="s">
        <v>27</v>
      </c>
      <c r="R74" s="21"/>
      <c r="S74" s="23" t="s">
        <v>323</v>
      </c>
      <c r="T74" s="24"/>
      <c r="U74" s="16"/>
      <c r="V74" s="13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</row>
    <row r="75" customFormat="false" ht="15.75" hidden="false" customHeight="false" outlineLevel="0" collapsed="false">
      <c r="A75" s="11" t="n">
        <v>72</v>
      </c>
      <c r="B75" s="12" t="n">
        <v>46274</v>
      </c>
      <c r="C75" s="13" t="s">
        <v>161</v>
      </c>
      <c r="D75" s="14" t="s">
        <v>324</v>
      </c>
      <c r="E75" s="13"/>
      <c r="F75" s="15" t="s">
        <v>325</v>
      </c>
      <c r="G75" s="16" t="s">
        <v>326</v>
      </c>
      <c r="H75" s="13" t="s">
        <v>23</v>
      </c>
      <c r="I75" s="17" t="s">
        <v>24</v>
      </c>
      <c r="J75" s="13" t="s">
        <v>32</v>
      </c>
      <c r="K75" s="16" t="s">
        <v>327</v>
      </c>
      <c r="L75" s="18" t="n">
        <v>5000</v>
      </c>
      <c r="M75" s="19" t="n">
        <f aca="false">L75/(100%+7%)</f>
        <v>4672.89719626168</v>
      </c>
      <c r="N75" s="20" t="n">
        <f aca="false">M75/(100%+11.5%)</f>
        <v>4190.93918947236</v>
      </c>
      <c r="O75" s="19" t="n">
        <f aca="false">N75*11.5%</f>
        <v>481.958006789322</v>
      </c>
      <c r="P75" s="21"/>
      <c r="Q75" s="22" t="s">
        <v>27</v>
      </c>
      <c r="R75" s="21"/>
      <c r="S75" s="23" t="s">
        <v>328</v>
      </c>
      <c r="T75" s="24"/>
      <c r="U75" s="16"/>
      <c r="V75" s="13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</row>
    <row r="76" customFormat="false" ht="15.75" hidden="false" customHeight="false" outlineLevel="0" collapsed="false">
      <c r="A76" s="11" t="n">
        <v>73</v>
      </c>
      <c r="B76" s="12" t="n">
        <v>46274</v>
      </c>
      <c r="C76" s="26" t="s">
        <v>144</v>
      </c>
      <c r="D76" s="14" t="s">
        <v>329</v>
      </c>
      <c r="E76" s="13" t="n">
        <v>42223</v>
      </c>
      <c r="F76" s="15" t="s">
        <v>330</v>
      </c>
      <c r="G76" s="16" t="s">
        <v>63</v>
      </c>
      <c r="H76" s="13" t="s">
        <v>23</v>
      </c>
      <c r="I76" s="17" t="s">
        <v>24</v>
      </c>
      <c r="J76" s="13" t="s">
        <v>32</v>
      </c>
      <c r="K76" s="16" t="s">
        <v>331</v>
      </c>
      <c r="L76" s="18" t="n">
        <v>5000</v>
      </c>
      <c r="M76" s="19" t="n">
        <f aca="false">L76/(100%+7%)</f>
        <v>4672.89719626168</v>
      </c>
      <c r="N76" s="20" t="n">
        <f aca="false">M76/(100%+11.5%)</f>
        <v>4190.93918947236</v>
      </c>
      <c r="O76" s="19" t="n">
        <f aca="false">N76*11.5%</f>
        <v>481.958006789322</v>
      </c>
      <c r="P76" s="21"/>
      <c r="Q76" s="22" t="s">
        <v>27</v>
      </c>
      <c r="R76" s="21"/>
      <c r="S76" s="23" t="s">
        <v>332</v>
      </c>
      <c r="T76" s="24"/>
      <c r="U76" s="16"/>
      <c r="V76" s="13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</row>
    <row r="77" customFormat="false" ht="15.75" hidden="false" customHeight="false" outlineLevel="0" collapsed="false">
      <c r="A77" s="11" t="n">
        <v>74</v>
      </c>
      <c r="B77" s="12" t="n">
        <v>46274</v>
      </c>
      <c r="C77" s="26" t="s">
        <v>180</v>
      </c>
      <c r="D77" s="14" t="s">
        <v>333</v>
      </c>
      <c r="E77" s="13" t="n">
        <v>42227</v>
      </c>
      <c r="F77" s="15" t="s">
        <v>334</v>
      </c>
      <c r="G77" s="16" t="s">
        <v>63</v>
      </c>
      <c r="H77" s="13" t="s">
        <v>23</v>
      </c>
      <c r="I77" s="17" t="s">
        <v>24</v>
      </c>
      <c r="J77" s="13" t="s">
        <v>32</v>
      </c>
      <c r="K77" s="16" t="s">
        <v>335</v>
      </c>
      <c r="L77" s="18" t="n">
        <v>2000</v>
      </c>
      <c r="M77" s="19" t="n">
        <f aca="false">L77/(100%+7%)</f>
        <v>1869.15887850467</v>
      </c>
      <c r="N77" s="20" t="n">
        <f aca="false">M77/(100%+11.5%)</f>
        <v>1676.37567578894</v>
      </c>
      <c r="O77" s="19" t="n">
        <f aca="false">N77*11.5%</f>
        <v>192.783202715729</v>
      </c>
      <c r="P77" s="21"/>
      <c r="Q77" s="22" t="s">
        <v>27</v>
      </c>
      <c r="R77" s="21"/>
      <c r="S77" s="23" t="s">
        <v>336</v>
      </c>
      <c r="T77" s="24"/>
      <c r="U77" s="16"/>
      <c r="V77" s="13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</row>
    <row r="78" customFormat="false" ht="15.75" hidden="false" customHeight="false" outlineLevel="0" collapsed="false">
      <c r="A78" s="11" t="n">
        <v>75</v>
      </c>
      <c r="B78" s="12" t="n">
        <v>46274</v>
      </c>
      <c r="C78" s="26" t="s">
        <v>83</v>
      </c>
      <c r="D78" s="14" t="s">
        <v>337</v>
      </c>
      <c r="E78" s="13" t="n">
        <v>42228</v>
      </c>
      <c r="F78" s="15" t="s">
        <v>338</v>
      </c>
      <c r="G78" s="16" t="s">
        <v>63</v>
      </c>
      <c r="H78" s="13" t="s">
        <v>23</v>
      </c>
      <c r="I78" s="17" t="s">
        <v>24</v>
      </c>
      <c r="J78" s="13" t="s">
        <v>32</v>
      </c>
      <c r="K78" s="16" t="s">
        <v>331</v>
      </c>
      <c r="L78" s="18" t="n">
        <v>5000</v>
      </c>
      <c r="M78" s="19" t="n">
        <f aca="false">L78/(100%+7%)</f>
        <v>4672.89719626168</v>
      </c>
      <c r="N78" s="20" t="n">
        <f aca="false">M78/(100%+11.5%)</f>
        <v>4190.93918947236</v>
      </c>
      <c r="O78" s="19" t="n">
        <f aca="false">N78*11.5%</f>
        <v>481.958006789322</v>
      </c>
      <c r="P78" s="21"/>
      <c r="Q78" s="22" t="s">
        <v>27</v>
      </c>
      <c r="R78" s="21"/>
      <c r="S78" s="23" t="s">
        <v>339</v>
      </c>
      <c r="T78" s="24"/>
      <c r="U78" s="16"/>
      <c r="V78" s="13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</row>
    <row r="79" customFormat="false" ht="15.75" hidden="false" customHeight="false" outlineLevel="0" collapsed="false">
      <c r="A79" s="11" t="n">
        <v>76</v>
      </c>
      <c r="B79" s="12" t="n">
        <v>46274</v>
      </c>
      <c r="C79" s="13" t="s">
        <v>340</v>
      </c>
      <c r="D79" s="14" t="s">
        <v>341</v>
      </c>
      <c r="E79" s="13"/>
      <c r="F79" s="15" t="s">
        <v>342</v>
      </c>
      <c r="G79" s="16" t="s">
        <v>63</v>
      </c>
      <c r="H79" s="13" t="s">
        <v>23</v>
      </c>
      <c r="I79" s="17" t="s">
        <v>24</v>
      </c>
      <c r="J79" s="13" t="s">
        <v>25</v>
      </c>
      <c r="K79" s="16" t="s">
        <v>319</v>
      </c>
      <c r="L79" s="18" t="n">
        <v>5000</v>
      </c>
      <c r="M79" s="19" t="n">
        <f aca="false">L79/(100%+7%)</f>
        <v>4672.89719626168</v>
      </c>
      <c r="N79" s="20" t="n">
        <f aca="false">M79/(100%+11.5%)</f>
        <v>4190.93918947236</v>
      </c>
      <c r="O79" s="19" t="n">
        <f aca="false">N79*11.5%</f>
        <v>481.958006789322</v>
      </c>
      <c r="P79" s="21"/>
      <c r="Q79" s="22" t="s">
        <v>27</v>
      </c>
      <c r="R79" s="21"/>
      <c r="S79" s="23" t="s">
        <v>343</v>
      </c>
      <c r="T79" s="24"/>
      <c r="U79" s="16"/>
      <c r="V79" s="13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</row>
    <row r="80" customFormat="false" ht="15.75" hidden="false" customHeight="false" outlineLevel="0" collapsed="false">
      <c r="A80" s="11" t="n">
        <v>77</v>
      </c>
      <c r="B80" s="12" t="n">
        <v>46274</v>
      </c>
      <c r="C80" s="26" t="s">
        <v>344</v>
      </c>
      <c r="D80" s="14" t="s">
        <v>345</v>
      </c>
      <c r="E80" s="13" t="n">
        <v>40152</v>
      </c>
      <c r="F80" s="15" t="s">
        <v>346</v>
      </c>
      <c r="G80" s="16" t="s">
        <v>77</v>
      </c>
      <c r="H80" s="13" t="s">
        <v>23</v>
      </c>
      <c r="I80" s="17" t="s">
        <v>24</v>
      </c>
      <c r="J80" s="13" t="s">
        <v>32</v>
      </c>
      <c r="K80" s="16" t="s">
        <v>319</v>
      </c>
      <c r="L80" s="18" t="n">
        <v>10000</v>
      </c>
      <c r="M80" s="19" t="n">
        <f aca="false">L80/(100%+7%)</f>
        <v>9345.79439252336</v>
      </c>
      <c r="N80" s="20" t="n">
        <f aca="false">M80/(100%+11.5%)</f>
        <v>8381.87837894472</v>
      </c>
      <c r="O80" s="19" t="n">
        <f aca="false">N80*11.5%</f>
        <v>963.916013578643</v>
      </c>
      <c r="P80" s="21"/>
      <c r="Q80" s="22" t="s">
        <v>27</v>
      </c>
      <c r="R80" s="21"/>
      <c r="S80" s="13" t="s">
        <v>347</v>
      </c>
      <c r="T80" s="13"/>
      <c r="U80" s="16"/>
      <c r="V80" s="13"/>
      <c r="W80" s="25"/>
      <c r="X80" s="13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</row>
    <row r="81" customFormat="false" ht="15.75" hidden="false" customHeight="false" outlineLevel="0" collapsed="false">
      <c r="A81" s="11" t="n">
        <v>78</v>
      </c>
      <c r="B81" s="12" t="n">
        <v>46274</v>
      </c>
      <c r="C81" s="26" t="s">
        <v>29</v>
      </c>
      <c r="D81" s="14" t="s">
        <v>348</v>
      </c>
      <c r="E81" s="13" t="n">
        <v>70149</v>
      </c>
      <c r="F81" s="15" t="s">
        <v>349</v>
      </c>
      <c r="G81" s="16" t="s">
        <v>77</v>
      </c>
      <c r="H81" s="13" t="s">
        <v>23</v>
      </c>
      <c r="I81" s="17" t="s">
        <v>24</v>
      </c>
      <c r="J81" s="13" t="s">
        <v>32</v>
      </c>
      <c r="K81" s="16" t="s">
        <v>319</v>
      </c>
      <c r="L81" s="18" t="n">
        <v>10000</v>
      </c>
      <c r="M81" s="19" t="n">
        <f aca="false">L81/(100%+7%)</f>
        <v>9345.79439252336</v>
      </c>
      <c r="N81" s="20" t="n">
        <f aca="false">M81/(100%+11.5%)</f>
        <v>8381.87837894472</v>
      </c>
      <c r="O81" s="19" t="n">
        <f aca="false">N81*11.5%</f>
        <v>963.916013578643</v>
      </c>
      <c r="P81" s="21"/>
      <c r="Q81" s="22" t="s">
        <v>27</v>
      </c>
      <c r="R81" s="21"/>
      <c r="S81" s="13" t="s">
        <v>350</v>
      </c>
      <c r="T81" s="13"/>
      <c r="U81" s="16"/>
      <c r="V81" s="13"/>
      <c r="W81" s="25"/>
      <c r="X81" s="13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</row>
    <row r="82" customFormat="false" ht="15.75" hidden="false" customHeight="false" outlineLevel="0" collapsed="false">
      <c r="A82" s="11" t="n">
        <v>79</v>
      </c>
      <c r="B82" s="12" t="n">
        <v>46275</v>
      </c>
      <c r="C82" s="13" t="s">
        <v>351</v>
      </c>
      <c r="D82" s="14" t="s">
        <v>352</v>
      </c>
      <c r="E82" s="13"/>
      <c r="F82" s="15" t="s">
        <v>353</v>
      </c>
      <c r="G82" s="16" t="s">
        <v>63</v>
      </c>
      <c r="H82" s="13" t="s">
        <v>23</v>
      </c>
      <c r="I82" s="17" t="s">
        <v>24</v>
      </c>
      <c r="J82" s="13" t="s">
        <v>32</v>
      </c>
      <c r="K82" s="16" t="s">
        <v>354</v>
      </c>
      <c r="L82" s="19" t="n">
        <v>3000</v>
      </c>
      <c r="M82" s="19" t="n">
        <f aca="false">L82/(100%+7%)</f>
        <v>2803.73831775701</v>
      </c>
      <c r="N82" s="20" t="n">
        <f aca="false">M82/(100%+11.5%)</f>
        <v>2514.56351368342</v>
      </c>
      <c r="O82" s="19" t="n">
        <f aca="false">N82*11.5%</f>
        <v>289.174804073593</v>
      </c>
      <c r="P82" s="21"/>
      <c r="Q82" s="22" t="s">
        <v>27</v>
      </c>
      <c r="R82" s="21"/>
      <c r="S82" s="23" t="s">
        <v>355</v>
      </c>
      <c r="T82" s="24"/>
      <c r="U82" s="16"/>
      <c r="V82" s="13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</row>
    <row r="83" customFormat="false" ht="15.75" hidden="false" customHeight="false" outlineLevel="0" collapsed="false">
      <c r="A83" s="11" t="n">
        <v>80</v>
      </c>
      <c r="B83" s="12" t="n">
        <v>46275</v>
      </c>
      <c r="C83" s="26" t="s">
        <v>144</v>
      </c>
      <c r="D83" s="14" t="s">
        <v>356</v>
      </c>
      <c r="E83" s="13" t="n">
        <v>42223</v>
      </c>
      <c r="F83" s="15" t="s">
        <v>357</v>
      </c>
      <c r="G83" s="16" t="s">
        <v>63</v>
      </c>
      <c r="H83" s="13" t="s">
        <v>23</v>
      </c>
      <c r="I83" s="17" t="s">
        <v>24</v>
      </c>
      <c r="J83" s="13" t="s">
        <v>32</v>
      </c>
      <c r="K83" s="16" t="s">
        <v>358</v>
      </c>
      <c r="L83" s="19" t="n">
        <v>5000</v>
      </c>
      <c r="M83" s="19" t="n">
        <f aca="false">L83/(100%+7%)</f>
        <v>4672.89719626168</v>
      </c>
      <c r="N83" s="20" t="n">
        <f aca="false">M83/(100%+11.5%)</f>
        <v>4190.93918947236</v>
      </c>
      <c r="O83" s="19" t="n">
        <f aca="false">N83*11.5%</f>
        <v>481.958006789322</v>
      </c>
      <c r="P83" s="21"/>
      <c r="Q83" s="22" t="s">
        <v>27</v>
      </c>
      <c r="R83" s="21"/>
      <c r="S83" s="23" t="s">
        <v>359</v>
      </c>
      <c r="T83" s="24"/>
      <c r="U83" s="16"/>
      <c r="V83" s="13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</row>
    <row r="84" customFormat="false" ht="15.75" hidden="false" customHeight="false" outlineLevel="0" collapsed="false">
      <c r="A84" s="11" t="n">
        <v>81</v>
      </c>
      <c r="B84" s="12" t="n">
        <v>46275</v>
      </c>
      <c r="C84" s="13" t="s">
        <v>360</v>
      </c>
      <c r="D84" s="14" t="s">
        <v>361</v>
      </c>
      <c r="E84" s="13"/>
      <c r="F84" s="15" t="s">
        <v>362</v>
      </c>
      <c r="G84" s="16" t="s">
        <v>22</v>
      </c>
      <c r="H84" s="13" t="s">
        <v>23</v>
      </c>
      <c r="I84" s="17" t="s">
        <v>24</v>
      </c>
      <c r="J84" s="13" t="s">
        <v>32</v>
      </c>
      <c r="K84" s="16" t="s">
        <v>306</v>
      </c>
      <c r="L84" s="19" t="n">
        <v>10000</v>
      </c>
      <c r="M84" s="19" t="n">
        <f aca="false">L84/(100%+7%)</f>
        <v>9345.79439252336</v>
      </c>
      <c r="N84" s="20" t="n">
        <f aca="false">M84/(100%+11.5%)</f>
        <v>8381.87837894472</v>
      </c>
      <c r="O84" s="19" t="n">
        <f aca="false">N84*11.5%</f>
        <v>963.916013578643</v>
      </c>
      <c r="P84" s="21"/>
      <c r="Q84" s="22" t="s">
        <v>27</v>
      </c>
      <c r="R84" s="21"/>
      <c r="S84" s="23" t="s">
        <v>363</v>
      </c>
      <c r="T84" s="24"/>
      <c r="U84" s="16"/>
      <c r="V84" s="13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</row>
    <row r="85" customFormat="false" ht="15.75" hidden="false" customHeight="false" outlineLevel="0" collapsed="false">
      <c r="A85" s="11" t="n">
        <v>82</v>
      </c>
      <c r="B85" s="12" t="n">
        <v>46275</v>
      </c>
      <c r="C85" s="26" t="s">
        <v>315</v>
      </c>
      <c r="D85" s="14" t="s">
        <v>364</v>
      </c>
      <c r="E85" s="13" t="s">
        <v>317</v>
      </c>
      <c r="F85" s="15" t="s">
        <v>365</v>
      </c>
      <c r="G85" s="16" t="s">
        <v>22</v>
      </c>
      <c r="H85" s="13" t="s">
        <v>23</v>
      </c>
      <c r="I85" s="17" t="s">
        <v>24</v>
      </c>
      <c r="J85" s="13" t="s">
        <v>32</v>
      </c>
      <c r="K85" s="16" t="s">
        <v>366</v>
      </c>
      <c r="L85" s="19" t="n">
        <v>10000</v>
      </c>
      <c r="M85" s="19" t="n">
        <f aca="false">L85/(100%+7%)</f>
        <v>9345.79439252336</v>
      </c>
      <c r="N85" s="20" t="n">
        <f aca="false">M85/(100%+11.5%)</f>
        <v>8381.87837894472</v>
      </c>
      <c r="O85" s="19" t="n">
        <f aca="false">N85*11.5%</f>
        <v>963.916013578643</v>
      </c>
      <c r="P85" s="21"/>
      <c r="Q85" s="22" t="s">
        <v>27</v>
      </c>
      <c r="R85" s="21"/>
      <c r="S85" s="23" t="s">
        <v>367</v>
      </c>
      <c r="T85" s="24"/>
      <c r="U85" s="16"/>
      <c r="V85" s="13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</row>
    <row r="86" customFormat="false" ht="15.75" hidden="false" customHeight="false" outlineLevel="0" collapsed="false">
      <c r="A86" s="11" t="n">
        <v>83</v>
      </c>
      <c r="B86" s="12" t="n">
        <v>46275</v>
      </c>
      <c r="C86" s="13" t="s">
        <v>368</v>
      </c>
      <c r="D86" s="14" t="s">
        <v>369</v>
      </c>
      <c r="E86" s="13"/>
      <c r="F86" s="15" t="s">
        <v>370</v>
      </c>
      <c r="G86" s="16" t="s">
        <v>63</v>
      </c>
      <c r="H86" s="13" t="s">
        <v>23</v>
      </c>
      <c r="I86" s="17" t="s">
        <v>24</v>
      </c>
      <c r="J86" s="13" t="s">
        <v>32</v>
      </c>
      <c r="K86" s="16" t="s">
        <v>306</v>
      </c>
      <c r="L86" s="19" t="n">
        <v>5000</v>
      </c>
      <c r="M86" s="19" t="n">
        <f aca="false">L86/(100%+7%)</f>
        <v>4672.89719626168</v>
      </c>
      <c r="N86" s="20" t="n">
        <f aca="false">M86/(100%+11.5%)</f>
        <v>4190.93918947236</v>
      </c>
      <c r="O86" s="19" t="n">
        <f aca="false">N86*11.5%</f>
        <v>481.958006789322</v>
      </c>
      <c r="P86" s="21"/>
      <c r="Q86" s="22" t="s">
        <v>27</v>
      </c>
      <c r="R86" s="21"/>
      <c r="S86" s="23" t="s">
        <v>371</v>
      </c>
      <c r="T86" s="24"/>
      <c r="U86" s="16"/>
      <c r="V86" s="13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</row>
    <row r="87" customFormat="false" ht="15.75" hidden="false" customHeight="false" outlineLevel="0" collapsed="false">
      <c r="A87" s="11" t="n">
        <v>84</v>
      </c>
      <c r="B87" s="12" t="n">
        <v>46275</v>
      </c>
      <c r="C87" s="13" t="s">
        <v>372</v>
      </c>
      <c r="D87" s="14" t="s">
        <v>373</v>
      </c>
      <c r="E87" s="13"/>
      <c r="F87" s="15" t="s">
        <v>374</v>
      </c>
      <c r="G87" s="16" t="s">
        <v>63</v>
      </c>
      <c r="H87" s="13" t="s">
        <v>23</v>
      </c>
      <c r="I87" s="17" t="s">
        <v>24</v>
      </c>
      <c r="J87" s="13" t="s">
        <v>32</v>
      </c>
      <c r="K87" s="16" t="s">
        <v>306</v>
      </c>
      <c r="L87" s="19" t="n">
        <v>3000</v>
      </c>
      <c r="M87" s="19" t="n">
        <f aca="false">L87/(100%+7%)</f>
        <v>2803.73831775701</v>
      </c>
      <c r="N87" s="20" t="n">
        <f aca="false">M87/(100%+11.5%)</f>
        <v>2514.56351368342</v>
      </c>
      <c r="O87" s="19" t="n">
        <f aca="false">N87*11.5%</f>
        <v>289.174804073593</v>
      </c>
      <c r="P87" s="21"/>
      <c r="Q87" s="22" t="s">
        <v>27</v>
      </c>
      <c r="R87" s="21"/>
      <c r="S87" s="23" t="s">
        <v>375</v>
      </c>
      <c r="T87" s="24"/>
      <c r="U87" s="16"/>
      <c r="V87" s="13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</row>
    <row r="88" customFormat="false" ht="15.75" hidden="false" customHeight="false" outlineLevel="0" collapsed="false">
      <c r="A88" s="11" t="n">
        <v>85</v>
      </c>
      <c r="B88" s="12" t="n">
        <v>46275</v>
      </c>
      <c r="C88" s="13" t="s">
        <v>227</v>
      </c>
      <c r="D88" s="14" t="s">
        <v>376</v>
      </c>
      <c r="E88" s="13"/>
      <c r="F88" s="15" t="s">
        <v>377</v>
      </c>
      <c r="G88" s="16" t="s">
        <v>63</v>
      </c>
      <c r="H88" s="13" t="s">
        <v>23</v>
      </c>
      <c r="I88" s="17" t="s">
        <v>24</v>
      </c>
      <c r="J88" s="13" t="s">
        <v>32</v>
      </c>
      <c r="K88" s="16" t="s">
        <v>306</v>
      </c>
      <c r="L88" s="19" t="n">
        <v>5000</v>
      </c>
      <c r="M88" s="19" t="n">
        <f aca="false">L88/(100%+7%)</f>
        <v>4672.89719626168</v>
      </c>
      <c r="N88" s="20" t="n">
        <f aca="false">M88/(100%+11.5%)</f>
        <v>4190.93918947236</v>
      </c>
      <c r="O88" s="19" t="n">
        <f aca="false">N88*11.5%</f>
        <v>481.958006789322</v>
      </c>
      <c r="P88" s="21"/>
      <c r="Q88" s="22" t="s">
        <v>27</v>
      </c>
      <c r="R88" s="21"/>
      <c r="S88" s="23" t="s">
        <v>378</v>
      </c>
      <c r="T88" s="24"/>
      <c r="U88" s="16"/>
      <c r="V88" s="13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</row>
    <row r="89" customFormat="false" ht="15.75" hidden="false" customHeight="false" outlineLevel="0" collapsed="false">
      <c r="A89" s="11" t="n">
        <v>86</v>
      </c>
      <c r="B89" s="12" t="n">
        <v>46275</v>
      </c>
      <c r="C89" s="13" t="s">
        <v>223</v>
      </c>
      <c r="D89" s="14" t="s">
        <v>379</v>
      </c>
      <c r="E89" s="13"/>
      <c r="F89" s="15" t="s">
        <v>380</v>
      </c>
      <c r="G89" s="16" t="s">
        <v>63</v>
      </c>
      <c r="H89" s="13" t="s">
        <v>23</v>
      </c>
      <c r="I89" s="17" t="s">
        <v>24</v>
      </c>
      <c r="J89" s="13" t="s">
        <v>32</v>
      </c>
      <c r="K89" s="16" t="s">
        <v>306</v>
      </c>
      <c r="L89" s="19" t="n">
        <v>5000</v>
      </c>
      <c r="M89" s="19" t="n">
        <f aca="false">L89/(100%+7%)</f>
        <v>4672.89719626168</v>
      </c>
      <c r="N89" s="20" t="n">
        <f aca="false">M89/(100%+11.5%)</f>
        <v>4190.93918947236</v>
      </c>
      <c r="O89" s="19" t="n">
        <f aca="false">N89*11.5%</f>
        <v>481.958006789322</v>
      </c>
      <c r="P89" s="21"/>
      <c r="Q89" s="22" t="s">
        <v>27</v>
      </c>
      <c r="R89" s="21"/>
      <c r="S89" s="23" t="s">
        <v>381</v>
      </c>
      <c r="T89" s="24"/>
      <c r="U89" s="16"/>
      <c r="V89" s="13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</row>
    <row r="90" customFormat="false" ht="15.75" hidden="false" customHeight="false" outlineLevel="0" collapsed="false">
      <c r="A90" s="11" t="n">
        <v>87</v>
      </c>
      <c r="B90" s="12" t="n">
        <v>46275</v>
      </c>
      <c r="C90" s="26" t="s">
        <v>74</v>
      </c>
      <c r="D90" s="14" t="s">
        <v>382</v>
      </c>
      <c r="E90" s="13" t="n">
        <v>60033</v>
      </c>
      <c r="F90" s="15" t="s">
        <v>383</v>
      </c>
      <c r="G90" s="16" t="s">
        <v>77</v>
      </c>
      <c r="H90" s="13" t="s">
        <v>23</v>
      </c>
      <c r="I90" s="17" t="s">
        <v>24</v>
      </c>
      <c r="J90" s="13" t="s">
        <v>32</v>
      </c>
      <c r="K90" s="16" t="s">
        <v>306</v>
      </c>
      <c r="L90" s="19" t="n">
        <v>5000</v>
      </c>
      <c r="M90" s="19" t="n">
        <f aca="false">L90/(100%+7%)</f>
        <v>4672.89719626168</v>
      </c>
      <c r="N90" s="20" t="n">
        <f aca="false">M90/(100%+11.5%)</f>
        <v>4190.93918947236</v>
      </c>
      <c r="O90" s="19" t="n">
        <f aca="false">N90*11.5%</f>
        <v>481.958006789322</v>
      </c>
      <c r="P90" s="21"/>
      <c r="Q90" s="22" t="s">
        <v>27</v>
      </c>
      <c r="R90" s="21"/>
      <c r="S90" s="13" t="s">
        <v>384</v>
      </c>
      <c r="T90" s="13"/>
      <c r="U90" s="16"/>
      <c r="V90" s="13"/>
      <c r="W90" s="25"/>
      <c r="X90" s="13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</row>
    <row r="91" customFormat="false" ht="15.75" hidden="false" customHeight="false" outlineLevel="0" collapsed="false">
      <c r="A91" s="11" t="n">
        <v>88</v>
      </c>
      <c r="B91" s="12" t="n">
        <v>46275</v>
      </c>
      <c r="C91" s="26" t="s">
        <v>385</v>
      </c>
      <c r="D91" s="14" t="s">
        <v>386</v>
      </c>
      <c r="E91" s="13" t="n">
        <v>40165</v>
      </c>
      <c r="F91" s="15" t="s">
        <v>387</v>
      </c>
      <c r="G91" s="16" t="s">
        <v>77</v>
      </c>
      <c r="H91" s="13" t="s">
        <v>23</v>
      </c>
      <c r="I91" s="17" t="s">
        <v>24</v>
      </c>
      <c r="J91" s="13" t="s">
        <v>32</v>
      </c>
      <c r="K91" s="16" t="s">
        <v>306</v>
      </c>
      <c r="L91" s="19" t="n">
        <v>5000</v>
      </c>
      <c r="M91" s="19" t="n">
        <f aca="false">L91/(100%+7%)</f>
        <v>4672.89719626168</v>
      </c>
      <c r="N91" s="20" t="n">
        <f aca="false">M91/(100%+11.5%)</f>
        <v>4190.93918947236</v>
      </c>
      <c r="O91" s="19" t="n">
        <f aca="false">N91*11.5%</f>
        <v>481.958006789322</v>
      </c>
      <c r="P91" s="21"/>
      <c r="Q91" s="22" t="s">
        <v>27</v>
      </c>
      <c r="R91" s="21"/>
      <c r="S91" s="13" t="s">
        <v>388</v>
      </c>
      <c r="T91" s="13"/>
      <c r="U91" s="16"/>
      <c r="V91" s="13"/>
      <c r="W91" s="25"/>
      <c r="X91" s="13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</row>
    <row r="92" customFormat="false" ht="15.75" hidden="false" customHeight="false" outlineLevel="0" collapsed="false">
      <c r="A92" s="11" t="n">
        <v>89</v>
      </c>
      <c r="B92" s="12" t="n">
        <v>46275</v>
      </c>
      <c r="C92" s="26" t="s">
        <v>140</v>
      </c>
      <c r="D92" s="14" t="s">
        <v>389</v>
      </c>
      <c r="E92" s="13" t="n">
        <v>40108</v>
      </c>
      <c r="F92" s="15" t="s">
        <v>390</v>
      </c>
      <c r="G92" s="16" t="s">
        <v>77</v>
      </c>
      <c r="H92" s="13" t="s">
        <v>23</v>
      </c>
      <c r="I92" s="17" t="s">
        <v>24</v>
      </c>
      <c r="J92" s="13" t="s">
        <v>32</v>
      </c>
      <c r="K92" s="16" t="s">
        <v>306</v>
      </c>
      <c r="L92" s="19" t="n">
        <v>5000</v>
      </c>
      <c r="M92" s="19" t="n">
        <f aca="false">L92/(100%+7%)</f>
        <v>4672.89719626168</v>
      </c>
      <c r="N92" s="20" t="n">
        <f aca="false">M92/(100%+11.5%)</f>
        <v>4190.93918947236</v>
      </c>
      <c r="O92" s="19" t="n">
        <f aca="false">N92*11.5%</f>
        <v>481.958006789322</v>
      </c>
      <c r="P92" s="21"/>
      <c r="Q92" s="22" t="s">
        <v>27</v>
      </c>
      <c r="R92" s="21"/>
      <c r="S92" s="13" t="s">
        <v>391</v>
      </c>
      <c r="T92" s="13"/>
      <c r="U92" s="16"/>
      <c r="V92" s="13"/>
      <c r="W92" s="25"/>
      <c r="X92" s="13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</row>
    <row r="93" customFormat="false" ht="15.75" hidden="false" customHeight="false" outlineLevel="0" collapsed="false">
      <c r="A93" s="11" t="n">
        <v>90</v>
      </c>
      <c r="B93" s="12" t="n">
        <v>46275</v>
      </c>
      <c r="C93" s="26" t="s">
        <v>115</v>
      </c>
      <c r="D93" s="14" t="s">
        <v>392</v>
      </c>
      <c r="E93" s="13" t="n">
        <v>40163</v>
      </c>
      <c r="F93" s="15" t="s">
        <v>393</v>
      </c>
      <c r="G93" s="16" t="s">
        <v>326</v>
      </c>
      <c r="H93" s="13" t="s">
        <v>23</v>
      </c>
      <c r="I93" s="17" t="s">
        <v>24</v>
      </c>
      <c r="J93" s="13" t="s">
        <v>32</v>
      </c>
      <c r="K93" s="16" t="s">
        <v>306</v>
      </c>
      <c r="L93" s="19" t="n">
        <v>5000</v>
      </c>
      <c r="M93" s="19" t="n">
        <f aca="false">L93/(100%+7%)</f>
        <v>4672.89719626168</v>
      </c>
      <c r="N93" s="20" t="n">
        <f aca="false">M93/(100%+11.5%)</f>
        <v>4190.93918947236</v>
      </c>
      <c r="O93" s="19" t="n">
        <f aca="false">N93*11.5%</f>
        <v>481.958006789322</v>
      </c>
      <c r="P93" s="21"/>
      <c r="Q93" s="22" t="s">
        <v>27</v>
      </c>
      <c r="R93" s="21"/>
      <c r="S93" s="13" t="s">
        <v>394</v>
      </c>
      <c r="T93" s="13"/>
      <c r="U93" s="16"/>
      <c r="V93" s="13"/>
      <c r="W93" s="25"/>
      <c r="X93" s="13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</row>
    <row r="94" customFormat="false" ht="15.75" hidden="false" customHeight="false" outlineLevel="0" collapsed="false">
      <c r="A94" s="11" t="n">
        <v>91</v>
      </c>
      <c r="B94" s="12" t="n">
        <v>46275</v>
      </c>
      <c r="C94" s="26" t="s">
        <v>395</v>
      </c>
      <c r="D94" s="14" t="s">
        <v>396</v>
      </c>
      <c r="E94" s="13" t="n">
        <v>40098</v>
      </c>
      <c r="F94" s="15" t="s">
        <v>397</v>
      </c>
      <c r="G94" s="16" t="s">
        <v>77</v>
      </c>
      <c r="H94" s="13" t="s">
        <v>23</v>
      </c>
      <c r="I94" s="17" t="s">
        <v>24</v>
      </c>
      <c r="J94" s="13" t="s">
        <v>32</v>
      </c>
      <c r="K94" s="16" t="s">
        <v>327</v>
      </c>
      <c r="L94" s="19" t="n">
        <v>5000</v>
      </c>
      <c r="M94" s="19" t="n">
        <f aca="false">L94/(100%+7%)</f>
        <v>4672.89719626168</v>
      </c>
      <c r="N94" s="20" t="n">
        <f aca="false">M94/(100%+11.5%)</f>
        <v>4190.93918947236</v>
      </c>
      <c r="O94" s="19" t="n">
        <f aca="false">N94*11.5%</f>
        <v>481.958006789322</v>
      </c>
      <c r="P94" s="21"/>
      <c r="Q94" s="22" t="s">
        <v>27</v>
      </c>
      <c r="R94" s="21"/>
      <c r="S94" s="13" t="s">
        <v>398</v>
      </c>
      <c r="T94" s="13"/>
      <c r="U94" s="16"/>
      <c r="V94" s="13"/>
      <c r="W94" s="25"/>
      <c r="X94" s="13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</row>
    <row r="95" customFormat="false" ht="15.75" hidden="false" customHeight="false" outlineLevel="0" collapsed="false">
      <c r="A95" s="11" t="n">
        <v>92</v>
      </c>
      <c r="B95" s="12" t="n">
        <v>46275</v>
      </c>
      <c r="C95" s="26" t="s">
        <v>161</v>
      </c>
      <c r="D95" s="14" t="s">
        <v>399</v>
      </c>
      <c r="E95" s="13" t="n">
        <v>40169</v>
      </c>
      <c r="F95" s="15" t="s">
        <v>400</v>
      </c>
      <c r="G95" s="16" t="s">
        <v>77</v>
      </c>
      <c r="H95" s="13" t="s">
        <v>23</v>
      </c>
      <c r="I95" s="17" t="s">
        <v>24</v>
      </c>
      <c r="J95" s="13" t="s">
        <v>32</v>
      </c>
      <c r="K95" s="16" t="s">
        <v>327</v>
      </c>
      <c r="L95" s="19" t="n">
        <v>5000</v>
      </c>
      <c r="M95" s="19" t="n">
        <f aca="false">L95/(100%+7%)</f>
        <v>4672.89719626168</v>
      </c>
      <c r="N95" s="20" t="n">
        <f aca="false">M95/(100%+11.5%)</f>
        <v>4190.93918947236</v>
      </c>
      <c r="O95" s="19" t="n">
        <f aca="false">N95*11.5%</f>
        <v>481.958006789322</v>
      </c>
      <c r="P95" s="21"/>
      <c r="Q95" s="22" t="s">
        <v>27</v>
      </c>
      <c r="R95" s="21"/>
      <c r="S95" s="13" t="s">
        <v>401</v>
      </c>
      <c r="T95" s="13"/>
      <c r="U95" s="16"/>
      <c r="V95" s="13"/>
      <c r="W95" s="25"/>
      <c r="X95" s="13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</row>
    <row r="96" customFormat="false" ht="15.75" hidden="false" customHeight="false" outlineLevel="0" collapsed="false">
      <c r="A96" s="11" t="n">
        <v>93</v>
      </c>
      <c r="B96" s="12" t="n">
        <v>46275</v>
      </c>
      <c r="C96" s="26" t="s">
        <v>402</v>
      </c>
      <c r="D96" s="14" t="s">
        <v>403</v>
      </c>
      <c r="E96" s="13" t="n">
        <v>40128</v>
      </c>
      <c r="F96" s="15" t="s">
        <v>404</v>
      </c>
      <c r="G96" s="16" t="s">
        <v>326</v>
      </c>
      <c r="H96" s="13" t="s">
        <v>23</v>
      </c>
      <c r="I96" s="17" t="s">
        <v>24</v>
      </c>
      <c r="J96" s="13" t="s">
        <v>32</v>
      </c>
      <c r="K96" s="16" t="s">
        <v>327</v>
      </c>
      <c r="L96" s="19" t="n">
        <v>5000</v>
      </c>
      <c r="M96" s="19" t="n">
        <f aca="false">L96/(100%+7%)</f>
        <v>4672.89719626168</v>
      </c>
      <c r="N96" s="20" t="n">
        <f aca="false">M96/(100%+11.5%)</f>
        <v>4190.93918947236</v>
      </c>
      <c r="O96" s="19" t="n">
        <f aca="false">N96*11.5%</f>
        <v>481.958006789322</v>
      </c>
      <c r="P96" s="21"/>
      <c r="Q96" s="22" t="s">
        <v>27</v>
      </c>
      <c r="R96" s="21"/>
      <c r="S96" s="13" t="s">
        <v>405</v>
      </c>
      <c r="T96" s="13"/>
      <c r="U96" s="16"/>
      <c r="V96" s="13"/>
      <c r="W96" s="25"/>
      <c r="X96" s="13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</row>
    <row r="97" customFormat="false" ht="15.75" hidden="false" customHeight="false" outlineLevel="0" collapsed="false">
      <c r="A97" s="11" t="n">
        <v>94</v>
      </c>
      <c r="B97" s="12" t="n">
        <v>46275</v>
      </c>
      <c r="C97" s="26" t="s">
        <v>406</v>
      </c>
      <c r="D97" s="14" t="s">
        <v>407</v>
      </c>
      <c r="E97" s="13" t="n">
        <v>70114</v>
      </c>
      <c r="F97" s="15" t="s">
        <v>408</v>
      </c>
      <c r="G97" s="16" t="s">
        <v>77</v>
      </c>
      <c r="H97" s="13" t="s">
        <v>23</v>
      </c>
      <c r="I97" s="17" t="s">
        <v>24</v>
      </c>
      <c r="J97" s="13" t="s">
        <v>32</v>
      </c>
      <c r="K97" s="16" t="s">
        <v>409</v>
      </c>
      <c r="L97" s="19" t="n">
        <v>15000</v>
      </c>
      <c r="M97" s="19" t="n">
        <f aca="false">L97/(100%+7%)</f>
        <v>14018.691588785</v>
      </c>
      <c r="N97" s="20" t="n">
        <f aca="false">M97/(100%+11.5%)</f>
        <v>12572.8175684171</v>
      </c>
      <c r="O97" s="19" t="n">
        <f aca="false">N97*11.5%</f>
        <v>1445.87402036796</v>
      </c>
      <c r="P97" s="21"/>
      <c r="Q97" s="22" t="s">
        <v>27</v>
      </c>
      <c r="R97" s="21"/>
      <c r="S97" s="13" t="s">
        <v>410</v>
      </c>
      <c r="T97" s="13"/>
      <c r="U97" s="16"/>
      <c r="V97" s="13"/>
      <c r="W97" s="25"/>
      <c r="X97" s="13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</row>
    <row r="98" customFormat="false" ht="15.75" hidden="false" customHeight="false" outlineLevel="0" collapsed="false">
      <c r="A98" s="11" t="n">
        <v>95</v>
      </c>
      <c r="B98" s="12" t="n">
        <v>46275</v>
      </c>
      <c r="C98" s="26" t="s">
        <v>42</v>
      </c>
      <c r="D98" s="14" t="s">
        <v>411</v>
      </c>
      <c r="E98" s="13" t="s">
        <v>412</v>
      </c>
      <c r="F98" s="15" t="s">
        <v>413</v>
      </c>
      <c r="G98" s="16" t="s">
        <v>77</v>
      </c>
      <c r="H98" s="13" t="s">
        <v>23</v>
      </c>
      <c r="I98" s="17" t="s">
        <v>24</v>
      </c>
      <c r="J98" s="13" t="s">
        <v>32</v>
      </c>
      <c r="K98" s="16" t="s">
        <v>409</v>
      </c>
      <c r="L98" s="19" t="n">
        <v>15000</v>
      </c>
      <c r="M98" s="19" t="n">
        <f aca="false">L98/(100%+7%)</f>
        <v>14018.691588785</v>
      </c>
      <c r="N98" s="20" t="n">
        <f aca="false">M98/(100%+11.5%)</f>
        <v>12572.8175684171</v>
      </c>
      <c r="O98" s="19" t="n">
        <f aca="false">N98*11.5%</f>
        <v>1445.87402036796</v>
      </c>
      <c r="P98" s="21"/>
      <c r="Q98" s="22" t="s">
        <v>27</v>
      </c>
      <c r="R98" s="21"/>
      <c r="S98" s="13" t="s">
        <v>414</v>
      </c>
      <c r="T98" s="13"/>
      <c r="U98" s="16"/>
      <c r="V98" s="13"/>
      <c r="W98" s="25"/>
      <c r="X98" s="13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</row>
    <row r="99" customFormat="false" ht="15.75" hidden="false" customHeight="false" outlineLevel="0" collapsed="false">
      <c r="A99" s="11" t="n">
        <v>96</v>
      </c>
      <c r="B99" s="12" t="n">
        <v>46276</v>
      </c>
      <c r="C99" s="13" t="s">
        <v>415</v>
      </c>
      <c r="D99" s="14" t="s">
        <v>416</v>
      </c>
      <c r="E99" s="13"/>
      <c r="F99" s="15" t="s">
        <v>417</v>
      </c>
      <c r="G99" s="16" t="s">
        <v>297</v>
      </c>
      <c r="H99" s="13" t="s">
        <v>23</v>
      </c>
      <c r="I99" s="28" t="s">
        <v>298</v>
      </c>
      <c r="J99" s="13" t="s">
        <v>25</v>
      </c>
      <c r="K99" s="16" t="s">
        <v>418</v>
      </c>
      <c r="L99" s="19" t="n">
        <v>5000</v>
      </c>
      <c r="M99" s="19" t="n">
        <f aca="false">L99/(100%+7%)</f>
        <v>4672.89719626168</v>
      </c>
      <c r="N99" s="20" t="n">
        <f aca="false">M99/(100%+11.5%)</f>
        <v>4190.93918947236</v>
      </c>
      <c r="O99" s="19" t="n">
        <f aca="false">N99*11.5%</f>
        <v>481.958006789322</v>
      </c>
      <c r="P99" s="21"/>
      <c r="Q99" s="22" t="s">
        <v>27</v>
      </c>
      <c r="R99" s="21"/>
      <c r="S99" s="23" t="s">
        <v>419</v>
      </c>
      <c r="T99" s="29"/>
      <c r="U99" s="16"/>
      <c r="V99" s="13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</row>
    <row r="100" customFormat="false" ht="15.75" hidden="false" customHeight="false" outlineLevel="0" collapsed="false">
      <c r="A100" s="11" t="n">
        <v>97</v>
      </c>
      <c r="B100" s="12" t="n">
        <v>46276</v>
      </c>
      <c r="C100" s="13" t="s">
        <v>420</v>
      </c>
      <c r="D100" s="14" t="s">
        <v>421</v>
      </c>
      <c r="E100" s="13"/>
      <c r="F100" s="15" t="s">
        <v>422</v>
      </c>
      <c r="G100" s="16" t="s">
        <v>297</v>
      </c>
      <c r="H100" s="13" t="s">
        <v>23</v>
      </c>
      <c r="I100" s="28" t="s">
        <v>298</v>
      </c>
      <c r="J100" s="13" t="s">
        <v>25</v>
      </c>
      <c r="K100" s="16" t="s">
        <v>306</v>
      </c>
      <c r="L100" s="19" t="n">
        <v>5000</v>
      </c>
      <c r="M100" s="19" t="n">
        <f aca="false">L100/(100%+7%)</f>
        <v>4672.89719626168</v>
      </c>
      <c r="N100" s="20" t="n">
        <f aca="false">M100/(100%+11.5%)</f>
        <v>4190.93918947236</v>
      </c>
      <c r="O100" s="19" t="n">
        <f aca="false">N100*11.5%</f>
        <v>481.958006789322</v>
      </c>
      <c r="P100" s="21"/>
      <c r="Q100" s="22" t="s">
        <v>27</v>
      </c>
      <c r="R100" s="21"/>
      <c r="S100" s="23" t="s">
        <v>423</v>
      </c>
      <c r="T100" s="29"/>
      <c r="U100" s="16"/>
      <c r="V100" s="13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</row>
    <row r="101" customFormat="false" ht="15.75" hidden="false" customHeight="false" outlineLevel="0" collapsed="false">
      <c r="A101" s="11" t="n">
        <v>98</v>
      </c>
      <c r="B101" s="12" t="n">
        <v>46276</v>
      </c>
      <c r="C101" s="26" t="s">
        <v>149</v>
      </c>
      <c r="D101" s="14" t="s">
        <v>424</v>
      </c>
      <c r="E101" s="13" t="n">
        <v>42226</v>
      </c>
      <c r="F101" s="15" t="s">
        <v>425</v>
      </c>
      <c r="G101" s="16" t="s">
        <v>63</v>
      </c>
      <c r="H101" s="13" t="s">
        <v>23</v>
      </c>
      <c r="I101" s="17" t="s">
        <v>24</v>
      </c>
      <c r="J101" s="13" t="s">
        <v>25</v>
      </c>
      <c r="K101" s="16" t="s">
        <v>426</v>
      </c>
      <c r="L101" s="18" t="n">
        <v>5000</v>
      </c>
      <c r="M101" s="19" t="n">
        <f aca="false">L101/(100%+7%)</f>
        <v>4672.89719626168</v>
      </c>
      <c r="N101" s="20" t="n">
        <f aca="false">M101/(100%+11.5%)</f>
        <v>4190.93918947236</v>
      </c>
      <c r="O101" s="19" t="n">
        <f aca="false">N101*11.5%</f>
        <v>481.958006789322</v>
      </c>
      <c r="P101" s="21"/>
      <c r="Q101" s="22" t="s">
        <v>27</v>
      </c>
      <c r="R101" s="21"/>
      <c r="S101" s="23" t="s">
        <v>427</v>
      </c>
      <c r="T101" s="24"/>
      <c r="U101" s="16"/>
      <c r="V101" s="13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</row>
    <row r="102" customFormat="false" ht="15.75" hidden="false" customHeight="false" outlineLevel="0" collapsed="false">
      <c r="A102" s="11" t="n">
        <v>99</v>
      </c>
      <c r="B102" s="12" t="n">
        <v>46276</v>
      </c>
      <c r="C102" s="26" t="s">
        <v>428</v>
      </c>
      <c r="D102" s="14" t="s">
        <v>429</v>
      </c>
      <c r="E102" s="13" t="n">
        <v>40100</v>
      </c>
      <c r="F102" s="15" t="s">
        <v>430</v>
      </c>
      <c r="G102" s="16" t="s">
        <v>22</v>
      </c>
      <c r="H102" s="13" t="s">
        <v>23</v>
      </c>
      <c r="I102" s="17" t="s">
        <v>24</v>
      </c>
      <c r="J102" s="13" t="s">
        <v>25</v>
      </c>
      <c r="K102" s="16" t="s">
        <v>431</v>
      </c>
      <c r="L102" s="18" t="n">
        <v>5000</v>
      </c>
      <c r="M102" s="19" t="n">
        <f aca="false">L102/(100%+7%)</f>
        <v>4672.89719626168</v>
      </c>
      <c r="N102" s="20" t="n">
        <f aca="false">M102/(100%+11.5%)</f>
        <v>4190.93918947236</v>
      </c>
      <c r="O102" s="19" t="n">
        <f aca="false">N102*11.5%</f>
        <v>481.958006789322</v>
      </c>
      <c r="P102" s="21"/>
      <c r="Q102" s="22" t="s">
        <v>27</v>
      </c>
      <c r="R102" s="21"/>
      <c r="S102" s="23" t="s">
        <v>432</v>
      </c>
      <c r="T102" s="24"/>
      <c r="U102" s="16"/>
      <c r="V102" s="13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</row>
    <row r="103" customFormat="false" ht="15.75" hidden="false" customHeight="false" outlineLevel="0" collapsed="false">
      <c r="A103" s="11" t="n">
        <v>100</v>
      </c>
      <c r="B103" s="12" t="n">
        <v>46276</v>
      </c>
      <c r="C103" s="13" t="s">
        <v>98</v>
      </c>
      <c r="D103" s="14" t="s">
        <v>433</v>
      </c>
      <c r="E103" s="13"/>
      <c r="F103" s="15" t="s">
        <v>434</v>
      </c>
      <c r="G103" s="16" t="s">
        <v>63</v>
      </c>
      <c r="H103" s="13" t="s">
        <v>23</v>
      </c>
      <c r="I103" s="17" t="s">
        <v>24</v>
      </c>
      <c r="J103" s="13" t="s">
        <v>32</v>
      </c>
      <c r="K103" s="16" t="s">
        <v>426</v>
      </c>
      <c r="L103" s="18" t="n">
        <v>5000</v>
      </c>
      <c r="M103" s="19" t="n">
        <f aca="false">L103/(100%+7%)</f>
        <v>4672.89719626168</v>
      </c>
      <c r="N103" s="20" t="n">
        <f aca="false">M103/(100%+11.5%)</f>
        <v>4190.93918947236</v>
      </c>
      <c r="O103" s="19" t="n">
        <f aca="false">N103*11.5%</f>
        <v>481.958006789322</v>
      </c>
      <c r="P103" s="21"/>
      <c r="Q103" s="22" t="s">
        <v>27</v>
      </c>
      <c r="R103" s="21"/>
      <c r="S103" s="23" t="s">
        <v>435</v>
      </c>
      <c r="T103" s="24"/>
      <c r="U103" s="16"/>
      <c r="V103" s="13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</row>
    <row r="104" customFormat="false" ht="15.75" hidden="false" customHeight="false" outlineLevel="0" collapsed="false">
      <c r="A104" s="11" t="n">
        <v>101</v>
      </c>
      <c r="B104" s="12" t="n">
        <v>46276</v>
      </c>
      <c r="C104" s="26" t="s">
        <v>436</v>
      </c>
      <c r="D104" s="14" t="s">
        <v>437</v>
      </c>
      <c r="E104" s="13" t="n">
        <v>20018</v>
      </c>
      <c r="F104" s="15" t="s">
        <v>438</v>
      </c>
      <c r="G104" s="16" t="s">
        <v>63</v>
      </c>
      <c r="H104" s="13" t="s">
        <v>23</v>
      </c>
      <c r="I104" s="17" t="s">
        <v>24</v>
      </c>
      <c r="J104" s="13" t="s">
        <v>32</v>
      </c>
      <c r="K104" s="16" t="s">
        <v>439</v>
      </c>
      <c r="L104" s="18" t="n">
        <v>5000</v>
      </c>
      <c r="M104" s="19" t="n">
        <f aca="false">L104/(100%+7%)</f>
        <v>4672.89719626168</v>
      </c>
      <c r="N104" s="20" t="n">
        <f aca="false">M104/(100%+11.5%)</f>
        <v>4190.93918947236</v>
      </c>
      <c r="O104" s="19" t="n">
        <f aca="false">N104*11.5%</f>
        <v>481.958006789322</v>
      </c>
      <c r="P104" s="21"/>
      <c r="Q104" s="22" t="s">
        <v>27</v>
      </c>
      <c r="R104" s="21"/>
      <c r="S104" s="23" t="s">
        <v>440</v>
      </c>
      <c r="T104" s="24"/>
      <c r="U104" s="16"/>
      <c r="V104" s="13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</row>
    <row r="105" customFormat="false" ht="15.75" hidden="false" customHeight="false" outlineLevel="0" collapsed="false">
      <c r="A105" s="11" t="n">
        <v>102</v>
      </c>
      <c r="B105" s="12" t="n">
        <v>46276</v>
      </c>
      <c r="C105" s="13" t="s">
        <v>65</v>
      </c>
      <c r="D105" s="14" t="s">
        <v>441</v>
      </c>
      <c r="E105" s="13"/>
      <c r="F105" s="15" t="s">
        <v>442</v>
      </c>
      <c r="G105" s="16" t="s">
        <v>63</v>
      </c>
      <c r="H105" s="13" t="s">
        <v>23</v>
      </c>
      <c r="I105" s="17" t="s">
        <v>24</v>
      </c>
      <c r="J105" s="13" t="s">
        <v>32</v>
      </c>
      <c r="K105" s="16" t="s">
        <v>327</v>
      </c>
      <c r="L105" s="18" t="n">
        <v>3000</v>
      </c>
      <c r="M105" s="19" t="n">
        <f aca="false">L105/(100%+7%)</f>
        <v>2803.73831775701</v>
      </c>
      <c r="N105" s="20" t="n">
        <f aca="false">M105/(100%+11.5%)</f>
        <v>2514.56351368342</v>
      </c>
      <c r="O105" s="19" t="n">
        <f aca="false">N105*11.5%</f>
        <v>289.174804073593</v>
      </c>
      <c r="P105" s="21"/>
      <c r="Q105" s="22" t="s">
        <v>27</v>
      </c>
      <c r="R105" s="21"/>
      <c r="S105" s="23" t="s">
        <v>443</v>
      </c>
      <c r="T105" s="24"/>
      <c r="U105" s="16"/>
      <c r="V105" s="13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</row>
    <row r="106" customFormat="false" ht="15.75" hidden="false" customHeight="false" outlineLevel="0" collapsed="false">
      <c r="A106" s="11" t="n">
        <v>103</v>
      </c>
      <c r="B106" s="12" t="n">
        <v>46276</v>
      </c>
      <c r="C106" s="26" t="s">
        <v>149</v>
      </c>
      <c r="D106" s="14" t="s">
        <v>444</v>
      </c>
      <c r="E106" s="13" t="n">
        <v>42226</v>
      </c>
      <c r="F106" s="15" t="s">
        <v>445</v>
      </c>
      <c r="G106" s="16" t="s">
        <v>63</v>
      </c>
      <c r="H106" s="13" t="s">
        <v>23</v>
      </c>
      <c r="I106" s="17" t="s">
        <v>24</v>
      </c>
      <c r="J106" s="13" t="s">
        <v>32</v>
      </c>
      <c r="K106" s="16" t="s">
        <v>431</v>
      </c>
      <c r="L106" s="18" t="n">
        <v>5000</v>
      </c>
      <c r="M106" s="19" t="n">
        <f aca="false">L106/(100%+7%)</f>
        <v>4672.89719626168</v>
      </c>
      <c r="N106" s="20" t="n">
        <f aca="false">M106/(100%+11.5%)</f>
        <v>4190.93918947236</v>
      </c>
      <c r="O106" s="19" t="n">
        <f aca="false">N106*11.5%</f>
        <v>481.958006789322</v>
      </c>
      <c r="P106" s="21"/>
      <c r="Q106" s="22" t="s">
        <v>27</v>
      </c>
      <c r="R106" s="21"/>
      <c r="S106" s="23" t="s">
        <v>446</v>
      </c>
      <c r="T106" s="24"/>
      <c r="U106" s="16"/>
      <c r="V106" s="13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</row>
    <row r="107" customFormat="false" ht="15.75" hidden="false" customHeight="false" outlineLevel="0" collapsed="false">
      <c r="A107" s="11" t="n">
        <v>104</v>
      </c>
      <c r="B107" s="12" t="n">
        <v>46276</v>
      </c>
      <c r="C107" s="13" t="s">
        <v>447</v>
      </c>
      <c r="D107" s="14" t="s">
        <v>448</v>
      </c>
      <c r="E107" s="13"/>
      <c r="F107" s="15" t="s">
        <v>449</v>
      </c>
      <c r="G107" s="16" t="s">
        <v>450</v>
      </c>
      <c r="H107" s="13" t="s">
        <v>23</v>
      </c>
      <c r="I107" s="17" t="s">
        <v>24</v>
      </c>
      <c r="J107" s="13" t="s">
        <v>32</v>
      </c>
      <c r="K107" s="16" t="s">
        <v>451</v>
      </c>
      <c r="L107" s="18" t="n">
        <v>10000</v>
      </c>
      <c r="M107" s="19" t="n">
        <f aca="false">L107/(100%+7%)</f>
        <v>9345.79439252336</v>
      </c>
      <c r="N107" s="20" t="n">
        <f aca="false">M107/(100%+11.5%)</f>
        <v>8381.87837894472</v>
      </c>
      <c r="O107" s="19" t="n">
        <f aca="false">N107*11.5%</f>
        <v>963.916013578643</v>
      </c>
      <c r="P107" s="21"/>
      <c r="Q107" s="22" t="s">
        <v>27</v>
      </c>
      <c r="R107" s="21"/>
      <c r="S107" s="23" t="s">
        <v>452</v>
      </c>
      <c r="T107" s="24"/>
      <c r="U107" s="16"/>
      <c r="V107" s="13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</row>
    <row r="108" customFormat="false" ht="15.75" hidden="false" customHeight="false" outlineLevel="0" collapsed="false">
      <c r="A108" s="11" t="n">
        <v>105</v>
      </c>
      <c r="B108" s="12" t="n">
        <v>46276</v>
      </c>
      <c r="C108" s="13" t="s">
        <v>453</v>
      </c>
      <c r="D108" s="14" t="s">
        <v>454</v>
      </c>
      <c r="E108" s="13"/>
      <c r="F108" s="15" t="s">
        <v>455</v>
      </c>
      <c r="G108" s="16" t="s">
        <v>450</v>
      </c>
      <c r="H108" s="13" t="s">
        <v>23</v>
      </c>
      <c r="I108" s="17" t="s">
        <v>24</v>
      </c>
      <c r="J108" s="13" t="s">
        <v>32</v>
      </c>
      <c r="K108" s="16" t="s">
        <v>451</v>
      </c>
      <c r="L108" s="18" t="n">
        <v>10000</v>
      </c>
      <c r="M108" s="19" t="n">
        <f aca="false">L108/(100%+7%)</f>
        <v>9345.79439252336</v>
      </c>
      <c r="N108" s="20" t="n">
        <f aca="false">M108/(100%+11.5%)</f>
        <v>8381.87837894472</v>
      </c>
      <c r="O108" s="19" t="n">
        <f aca="false">N108*11.5%</f>
        <v>963.916013578643</v>
      </c>
      <c r="P108" s="21"/>
      <c r="Q108" s="22" t="s">
        <v>27</v>
      </c>
      <c r="R108" s="21"/>
      <c r="S108" s="23" t="s">
        <v>456</v>
      </c>
      <c r="T108" s="24"/>
      <c r="U108" s="16"/>
      <c r="V108" s="13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</row>
    <row r="109" customFormat="false" ht="15.75" hidden="false" customHeight="false" outlineLevel="0" collapsed="false">
      <c r="A109" s="11" t="n">
        <v>106</v>
      </c>
      <c r="B109" s="12" t="n">
        <v>46276</v>
      </c>
      <c r="C109" s="13" t="s">
        <v>457</v>
      </c>
      <c r="D109" s="14" t="s">
        <v>458</v>
      </c>
      <c r="E109" s="13"/>
      <c r="F109" s="15" t="s">
        <v>459</v>
      </c>
      <c r="G109" s="16" t="s">
        <v>450</v>
      </c>
      <c r="H109" s="13" t="s">
        <v>23</v>
      </c>
      <c r="I109" s="17" t="s">
        <v>24</v>
      </c>
      <c r="J109" s="13" t="s">
        <v>32</v>
      </c>
      <c r="K109" s="16" t="s">
        <v>451</v>
      </c>
      <c r="L109" s="18" t="n">
        <v>10000</v>
      </c>
      <c r="M109" s="19" t="n">
        <f aca="false">L109/(100%+7%)</f>
        <v>9345.79439252336</v>
      </c>
      <c r="N109" s="20" t="n">
        <f aca="false">M109/(100%+11.5%)</f>
        <v>8381.87837894472</v>
      </c>
      <c r="O109" s="19" t="n">
        <f aca="false">N109*11.5%</f>
        <v>963.916013578643</v>
      </c>
      <c r="P109" s="21"/>
      <c r="Q109" s="22" t="s">
        <v>27</v>
      </c>
      <c r="R109" s="21"/>
      <c r="S109" s="23" t="s">
        <v>460</v>
      </c>
      <c r="T109" s="24"/>
      <c r="U109" s="16"/>
      <c r="V109" s="13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</row>
    <row r="110" customFormat="false" ht="15.75" hidden="false" customHeight="false" outlineLevel="0" collapsed="false">
      <c r="A110" s="11" t="n">
        <v>107</v>
      </c>
      <c r="B110" s="12" t="n">
        <v>46279</v>
      </c>
      <c r="C110" s="26" t="s">
        <v>461</v>
      </c>
      <c r="D110" s="14" t="s">
        <v>462</v>
      </c>
      <c r="E110" s="13" t="n">
        <v>40101</v>
      </c>
      <c r="F110" s="15" t="s">
        <v>463</v>
      </c>
      <c r="G110" s="16" t="s">
        <v>22</v>
      </c>
      <c r="H110" s="13" t="s">
        <v>23</v>
      </c>
      <c r="I110" s="17" t="s">
        <v>24</v>
      </c>
      <c r="J110" s="13" t="s">
        <v>25</v>
      </c>
      <c r="K110" s="16" t="s">
        <v>464</v>
      </c>
      <c r="L110" s="18" t="n">
        <v>10000</v>
      </c>
      <c r="M110" s="19" t="n">
        <f aca="false">L110/(100%+7%)</f>
        <v>9345.79439252336</v>
      </c>
      <c r="N110" s="20" t="n">
        <f aca="false">M110/(100%+11.5%)</f>
        <v>8381.87837894472</v>
      </c>
      <c r="O110" s="19" t="n">
        <f aca="false">N110*11.5%</f>
        <v>963.916013578643</v>
      </c>
      <c r="P110" s="21"/>
      <c r="Q110" s="22" t="s">
        <v>27</v>
      </c>
      <c r="R110" s="21"/>
      <c r="S110" s="23" t="s">
        <v>465</v>
      </c>
      <c r="T110" s="24"/>
      <c r="U110" s="16"/>
      <c r="V110" s="13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</row>
    <row r="111" customFormat="false" ht="15.75" hidden="false" customHeight="false" outlineLevel="0" collapsed="false">
      <c r="A111" s="11" t="n">
        <v>108</v>
      </c>
      <c r="B111" s="12" t="n">
        <v>46279</v>
      </c>
      <c r="C111" s="13" t="s">
        <v>227</v>
      </c>
      <c r="D111" s="14" t="s">
        <v>227</v>
      </c>
      <c r="E111" s="13"/>
      <c r="F111" s="15" t="s">
        <v>466</v>
      </c>
      <c r="G111" s="16" t="s">
        <v>22</v>
      </c>
      <c r="H111" s="13" t="s">
        <v>23</v>
      </c>
      <c r="I111" s="17" t="s">
        <v>24</v>
      </c>
      <c r="J111" s="13" t="s">
        <v>25</v>
      </c>
      <c r="K111" s="16" t="s">
        <v>464</v>
      </c>
      <c r="L111" s="18" t="n">
        <v>10000</v>
      </c>
      <c r="M111" s="19" t="n">
        <f aca="false">L111/(100%+7%)</f>
        <v>9345.79439252336</v>
      </c>
      <c r="N111" s="20" t="n">
        <f aca="false">M111/(100%+11.5%)</f>
        <v>8381.87837894472</v>
      </c>
      <c r="O111" s="19" t="n">
        <f aca="false">N111*11.5%</f>
        <v>963.916013578643</v>
      </c>
      <c r="P111" s="21"/>
      <c r="Q111" s="22" t="s">
        <v>27</v>
      </c>
      <c r="R111" s="21"/>
      <c r="S111" s="23" t="s">
        <v>467</v>
      </c>
      <c r="T111" s="24"/>
      <c r="U111" s="16"/>
      <c r="V111" s="13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</row>
    <row r="112" customFormat="false" ht="15.75" hidden="false" customHeight="false" outlineLevel="0" collapsed="false">
      <c r="A112" s="11" t="n">
        <v>109</v>
      </c>
      <c r="B112" s="12" t="n">
        <v>46279</v>
      </c>
      <c r="C112" s="26" t="s">
        <v>468</v>
      </c>
      <c r="D112" s="14" t="s">
        <v>469</v>
      </c>
      <c r="E112" s="13" t="n">
        <v>70053</v>
      </c>
      <c r="F112" s="15" t="s">
        <v>470</v>
      </c>
      <c r="G112" s="16" t="s">
        <v>22</v>
      </c>
      <c r="H112" s="13" t="s">
        <v>23</v>
      </c>
      <c r="I112" s="17" t="s">
        <v>24</v>
      </c>
      <c r="J112" s="13" t="s">
        <v>25</v>
      </c>
      <c r="K112" s="16" t="s">
        <v>464</v>
      </c>
      <c r="L112" s="18" t="n">
        <v>10000</v>
      </c>
      <c r="M112" s="19" t="n">
        <f aca="false">L112/(100%+7%)</f>
        <v>9345.79439252336</v>
      </c>
      <c r="N112" s="20" t="n">
        <f aca="false">M112/(100%+11.5%)</f>
        <v>8381.87837894472</v>
      </c>
      <c r="O112" s="19" t="n">
        <f aca="false">N112*11.5%</f>
        <v>963.916013578643</v>
      </c>
      <c r="P112" s="21"/>
      <c r="Q112" s="22" t="s">
        <v>27</v>
      </c>
      <c r="R112" s="21"/>
      <c r="S112" s="23" t="s">
        <v>471</v>
      </c>
      <c r="T112" s="24"/>
      <c r="U112" s="16"/>
      <c r="V112" s="13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</row>
    <row r="113" customFormat="false" ht="15.75" hidden="false" customHeight="false" outlineLevel="0" collapsed="false">
      <c r="A113" s="11" t="n">
        <v>110</v>
      </c>
      <c r="B113" s="12" t="n">
        <v>46279</v>
      </c>
      <c r="C113" s="13" t="s">
        <v>300</v>
      </c>
      <c r="D113" s="14" t="s">
        <v>472</v>
      </c>
      <c r="E113" s="13"/>
      <c r="F113" s="15" t="s">
        <v>473</v>
      </c>
      <c r="G113" s="16" t="s">
        <v>297</v>
      </c>
      <c r="H113" s="13" t="s">
        <v>23</v>
      </c>
      <c r="I113" s="28" t="s">
        <v>298</v>
      </c>
      <c r="J113" s="13" t="s">
        <v>25</v>
      </c>
      <c r="K113" s="16" t="s">
        <v>474</v>
      </c>
      <c r="L113" s="18" t="n">
        <v>3000</v>
      </c>
      <c r="M113" s="19" t="n">
        <f aca="false">L113/(100%+7%)</f>
        <v>2803.73831775701</v>
      </c>
      <c r="N113" s="20" t="n">
        <f aca="false">M113/(100%+11.5%)</f>
        <v>2514.56351368342</v>
      </c>
      <c r="O113" s="19" t="n">
        <f aca="false">N113*11.5%</f>
        <v>289.174804073593</v>
      </c>
      <c r="P113" s="21"/>
      <c r="Q113" s="22" t="s">
        <v>27</v>
      </c>
      <c r="R113" s="21"/>
      <c r="S113" s="23" t="s">
        <v>475</v>
      </c>
      <c r="T113" s="29"/>
      <c r="U113" s="16"/>
      <c r="V113" s="13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</row>
    <row r="114" customFormat="false" ht="15.75" hidden="false" customHeight="false" outlineLevel="0" collapsed="false">
      <c r="A114" s="11" t="n">
        <v>111</v>
      </c>
      <c r="B114" s="12" t="n">
        <v>46279</v>
      </c>
      <c r="C114" s="13" t="s">
        <v>476</v>
      </c>
      <c r="D114" s="14" t="s">
        <v>477</v>
      </c>
      <c r="E114" s="13"/>
      <c r="F114" s="15" t="s">
        <v>478</v>
      </c>
      <c r="G114" s="16" t="s">
        <v>297</v>
      </c>
      <c r="H114" s="13" t="s">
        <v>23</v>
      </c>
      <c r="I114" s="28" t="s">
        <v>298</v>
      </c>
      <c r="J114" s="13" t="s">
        <v>25</v>
      </c>
      <c r="K114" s="16" t="s">
        <v>479</v>
      </c>
      <c r="L114" s="18" t="n">
        <v>5000</v>
      </c>
      <c r="M114" s="19" t="n">
        <f aca="false">L114/(100%+7%)</f>
        <v>4672.89719626168</v>
      </c>
      <c r="N114" s="20" t="n">
        <f aca="false">M114/(100%+11.5%)</f>
        <v>4190.93918947236</v>
      </c>
      <c r="O114" s="19" t="n">
        <f aca="false">N114*11.5%</f>
        <v>481.958006789322</v>
      </c>
      <c r="P114" s="21"/>
      <c r="Q114" s="22" t="s">
        <v>27</v>
      </c>
      <c r="R114" s="21"/>
      <c r="S114" s="23" t="s">
        <v>480</v>
      </c>
      <c r="T114" s="29"/>
      <c r="U114" s="16"/>
      <c r="V114" s="13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</row>
    <row r="115" customFormat="false" ht="15.75" hidden="false" customHeight="false" outlineLevel="0" collapsed="false">
      <c r="A115" s="11" t="n">
        <v>112</v>
      </c>
      <c r="B115" s="12" t="n">
        <v>46279</v>
      </c>
      <c r="C115" s="13" t="s">
        <v>481</v>
      </c>
      <c r="D115" s="14" t="s">
        <v>482</v>
      </c>
      <c r="E115" s="13"/>
      <c r="F115" s="15" t="s">
        <v>483</v>
      </c>
      <c r="G115" s="16" t="s">
        <v>297</v>
      </c>
      <c r="H115" s="13" t="s">
        <v>23</v>
      </c>
      <c r="I115" s="28" t="s">
        <v>298</v>
      </c>
      <c r="J115" s="13" t="s">
        <v>25</v>
      </c>
      <c r="K115" s="16" t="s">
        <v>484</v>
      </c>
      <c r="L115" s="18" t="n">
        <v>5000</v>
      </c>
      <c r="M115" s="19" t="n">
        <f aca="false">L115/(100%+7%)</f>
        <v>4672.89719626168</v>
      </c>
      <c r="N115" s="20" t="n">
        <f aca="false">M115/(100%+11.5%)</f>
        <v>4190.93918947236</v>
      </c>
      <c r="O115" s="19" t="n">
        <f aca="false">N115*11.5%</f>
        <v>481.958006789322</v>
      </c>
      <c r="P115" s="21"/>
      <c r="Q115" s="22" t="s">
        <v>27</v>
      </c>
      <c r="R115" s="21"/>
      <c r="S115" s="23" t="s">
        <v>485</v>
      </c>
      <c r="T115" s="29"/>
      <c r="U115" s="16"/>
      <c r="V115" s="13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</row>
    <row r="116" customFormat="false" ht="15.75" hidden="false" customHeight="false" outlineLevel="0" collapsed="false">
      <c r="A116" s="11" t="n">
        <v>113</v>
      </c>
      <c r="B116" s="12" t="n">
        <v>46279</v>
      </c>
      <c r="C116" s="13" t="s">
        <v>161</v>
      </c>
      <c r="D116" s="14" t="s">
        <v>324</v>
      </c>
      <c r="E116" s="13"/>
      <c r="F116" s="15" t="s">
        <v>486</v>
      </c>
      <c r="G116" s="16" t="s">
        <v>63</v>
      </c>
      <c r="H116" s="13" t="s">
        <v>23</v>
      </c>
      <c r="I116" s="17" t="s">
        <v>24</v>
      </c>
      <c r="J116" s="13" t="s">
        <v>32</v>
      </c>
      <c r="K116" s="16" t="s">
        <v>479</v>
      </c>
      <c r="L116" s="18" t="n">
        <v>2000</v>
      </c>
      <c r="M116" s="19" t="n">
        <f aca="false">L116/(100%+7%)</f>
        <v>1869.15887850467</v>
      </c>
      <c r="N116" s="20" t="n">
        <f aca="false">M116/(100%+11.5%)</f>
        <v>1676.37567578894</v>
      </c>
      <c r="O116" s="19" t="n">
        <f aca="false">N116*11.5%</f>
        <v>192.783202715729</v>
      </c>
      <c r="P116" s="21"/>
      <c r="Q116" s="22" t="s">
        <v>27</v>
      </c>
      <c r="R116" s="21"/>
      <c r="S116" s="23" t="s">
        <v>487</v>
      </c>
      <c r="T116" s="24"/>
      <c r="U116" s="16"/>
      <c r="V116" s="13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</row>
    <row r="117" customFormat="false" ht="15.75" hidden="false" customHeight="false" outlineLevel="0" collapsed="false">
      <c r="A117" s="11" t="n">
        <v>114</v>
      </c>
      <c r="B117" s="12" t="n">
        <v>46279</v>
      </c>
      <c r="C117" s="26" t="s">
        <v>488</v>
      </c>
      <c r="D117" s="14" t="s">
        <v>489</v>
      </c>
      <c r="E117" s="13" t="n">
        <v>42225</v>
      </c>
      <c r="F117" s="15" t="s">
        <v>490</v>
      </c>
      <c r="G117" s="16" t="s">
        <v>22</v>
      </c>
      <c r="H117" s="13" t="s">
        <v>23</v>
      </c>
      <c r="I117" s="17" t="s">
        <v>24</v>
      </c>
      <c r="J117" s="13" t="s">
        <v>32</v>
      </c>
      <c r="K117" s="16" t="s">
        <v>491</v>
      </c>
      <c r="L117" s="18" t="n">
        <v>10000</v>
      </c>
      <c r="M117" s="19" t="n">
        <f aca="false">L117/(100%+7%)</f>
        <v>9345.79439252336</v>
      </c>
      <c r="N117" s="20" t="n">
        <f aca="false">M117/(100%+11.5%)</f>
        <v>8381.87837894472</v>
      </c>
      <c r="O117" s="19" t="n">
        <f aca="false">N117*11.5%</f>
        <v>963.916013578643</v>
      </c>
      <c r="P117" s="21"/>
      <c r="Q117" s="22" t="s">
        <v>27</v>
      </c>
      <c r="R117" s="21"/>
      <c r="S117" s="23" t="s">
        <v>492</v>
      </c>
      <c r="T117" s="24"/>
      <c r="U117" s="16"/>
      <c r="V117" s="13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</row>
    <row r="118" customFormat="false" ht="15.75" hidden="false" customHeight="false" outlineLevel="0" collapsed="false">
      <c r="A118" s="11" t="n">
        <v>115</v>
      </c>
      <c r="B118" s="12" t="n">
        <v>46279</v>
      </c>
      <c r="C118" s="13" t="s">
        <v>360</v>
      </c>
      <c r="D118" s="14" t="s">
        <v>493</v>
      </c>
      <c r="E118" s="13"/>
      <c r="F118" s="15" t="s">
        <v>494</v>
      </c>
      <c r="G118" s="16" t="s">
        <v>63</v>
      </c>
      <c r="H118" s="13" t="s">
        <v>23</v>
      </c>
      <c r="I118" s="17" t="s">
        <v>24</v>
      </c>
      <c r="J118" s="13" t="s">
        <v>32</v>
      </c>
      <c r="K118" s="16" t="s">
        <v>474</v>
      </c>
      <c r="L118" s="18" t="n">
        <v>5000</v>
      </c>
      <c r="M118" s="19" t="n">
        <f aca="false">L118/(100%+7%)</f>
        <v>4672.89719626168</v>
      </c>
      <c r="N118" s="20" t="n">
        <f aca="false">M118/(100%+11.5%)</f>
        <v>4190.93918947236</v>
      </c>
      <c r="O118" s="19" t="n">
        <f aca="false">N118*11.5%</f>
        <v>481.958006789322</v>
      </c>
      <c r="P118" s="21"/>
      <c r="Q118" s="22" t="s">
        <v>27</v>
      </c>
      <c r="R118" s="21"/>
      <c r="S118" s="23" t="s">
        <v>495</v>
      </c>
      <c r="T118" s="24"/>
      <c r="U118" s="16"/>
      <c r="V118" s="13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</row>
    <row r="119" customFormat="false" ht="15.75" hidden="false" customHeight="false" outlineLevel="0" collapsed="false">
      <c r="A119" s="11" t="n">
        <v>116</v>
      </c>
      <c r="B119" s="12" t="n">
        <v>46279</v>
      </c>
      <c r="C119" s="13" t="s">
        <v>360</v>
      </c>
      <c r="D119" s="14" t="s">
        <v>496</v>
      </c>
      <c r="E119" s="13"/>
      <c r="F119" s="15" t="s">
        <v>497</v>
      </c>
      <c r="G119" s="16" t="s">
        <v>63</v>
      </c>
      <c r="H119" s="13" t="s">
        <v>23</v>
      </c>
      <c r="I119" s="17" t="s">
        <v>24</v>
      </c>
      <c r="J119" s="13" t="s">
        <v>32</v>
      </c>
      <c r="K119" s="16" t="s">
        <v>474</v>
      </c>
      <c r="L119" s="18" t="n">
        <v>5000</v>
      </c>
      <c r="M119" s="19" t="n">
        <f aca="false">L119/(100%+7%)</f>
        <v>4672.89719626168</v>
      </c>
      <c r="N119" s="20" t="n">
        <f aca="false">M119/(100%+11.5%)</f>
        <v>4190.93918947236</v>
      </c>
      <c r="O119" s="19" t="n">
        <f aca="false">N119*11.5%</f>
        <v>481.958006789322</v>
      </c>
      <c r="P119" s="21"/>
      <c r="Q119" s="22" t="s">
        <v>27</v>
      </c>
      <c r="R119" s="21"/>
      <c r="S119" s="23" t="s">
        <v>498</v>
      </c>
      <c r="T119" s="24"/>
      <c r="U119" s="16"/>
      <c r="V119" s="13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</row>
    <row r="120" customFormat="false" ht="15.75" hidden="false" customHeight="false" outlineLevel="0" collapsed="false">
      <c r="A120" s="11" t="n">
        <v>117</v>
      </c>
      <c r="B120" s="12" t="n">
        <v>46279</v>
      </c>
      <c r="C120" s="13" t="s">
        <v>360</v>
      </c>
      <c r="D120" s="14" t="s">
        <v>499</v>
      </c>
      <c r="E120" s="13"/>
      <c r="F120" s="15" t="s">
        <v>500</v>
      </c>
      <c r="G120" s="16" t="s">
        <v>63</v>
      </c>
      <c r="H120" s="13" t="s">
        <v>23</v>
      </c>
      <c r="I120" s="17" t="s">
        <v>24</v>
      </c>
      <c r="J120" s="13" t="s">
        <v>32</v>
      </c>
      <c r="K120" s="16" t="s">
        <v>474</v>
      </c>
      <c r="L120" s="18" t="n">
        <v>5000</v>
      </c>
      <c r="M120" s="19" t="n">
        <f aca="false">L120/(100%+7%)</f>
        <v>4672.89719626168</v>
      </c>
      <c r="N120" s="20" t="n">
        <f aca="false">M120/(100%+11.5%)</f>
        <v>4190.93918947236</v>
      </c>
      <c r="O120" s="19" t="n">
        <f aca="false">N120*11.5%</f>
        <v>481.958006789322</v>
      </c>
      <c r="P120" s="21"/>
      <c r="Q120" s="22" t="s">
        <v>27</v>
      </c>
      <c r="R120" s="21"/>
      <c r="S120" s="23" t="s">
        <v>501</v>
      </c>
      <c r="T120" s="24"/>
      <c r="U120" s="16"/>
      <c r="V120" s="13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</row>
    <row r="121" customFormat="false" ht="15.75" hidden="false" customHeight="false" outlineLevel="0" collapsed="false">
      <c r="A121" s="11" t="n">
        <v>118</v>
      </c>
      <c r="B121" s="12" t="n">
        <v>46279</v>
      </c>
      <c r="C121" s="26" t="s">
        <v>19</v>
      </c>
      <c r="D121" s="14" t="s">
        <v>502</v>
      </c>
      <c r="E121" s="13" t="n">
        <v>20067</v>
      </c>
      <c r="F121" s="15" t="s">
        <v>503</v>
      </c>
      <c r="G121" s="16" t="s">
        <v>22</v>
      </c>
      <c r="H121" s="13" t="s">
        <v>23</v>
      </c>
      <c r="I121" s="17" t="s">
        <v>24</v>
      </c>
      <c r="J121" s="13" t="s">
        <v>25</v>
      </c>
      <c r="K121" s="16" t="s">
        <v>484</v>
      </c>
      <c r="L121" s="18" t="n">
        <v>10000</v>
      </c>
      <c r="M121" s="19" t="n">
        <f aca="false">L121/(100%+7%)</f>
        <v>9345.79439252336</v>
      </c>
      <c r="N121" s="20" t="n">
        <f aca="false">M121/(100%+11.5%)</f>
        <v>8381.87837894472</v>
      </c>
      <c r="O121" s="19" t="n">
        <f aca="false">N121*11.5%</f>
        <v>963.916013578643</v>
      </c>
      <c r="P121" s="21"/>
      <c r="Q121" s="22" t="s">
        <v>27</v>
      </c>
      <c r="R121" s="21"/>
      <c r="S121" s="23" t="s">
        <v>504</v>
      </c>
      <c r="T121" s="24"/>
      <c r="U121" s="16"/>
      <c r="V121" s="13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</row>
    <row r="122" customFormat="false" ht="15.75" hidden="false" customHeight="false" outlineLevel="0" collapsed="false">
      <c r="A122" s="11" t="n">
        <v>119</v>
      </c>
      <c r="B122" s="12" t="n">
        <v>46279</v>
      </c>
      <c r="C122" s="13" t="s">
        <v>428</v>
      </c>
      <c r="D122" s="14" t="s">
        <v>505</v>
      </c>
      <c r="E122" s="13"/>
      <c r="F122" s="15" t="s">
        <v>506</v>
      </c>
      <c r="G122" s="16" t="s">
        <v>63</v>
      </c>
      <c r="H122" s="13" t="s">
        <v>23</v>
      </c>
      <c r="I122" s="17" t="s">
        <v>24</v>
      </c>
      <c r="J122" s="13" t="s">
        <v>32</v>
      </c>
      <c r="K122" s="16" t="s">
        <v>507</v>
      </c>
      <c r="L122" s="18" t="n">
        <v>5000</v>
      </c>
      <c r="M122" s="19" t="n">
        <f aca="false">L122/(100%+7%)</f>
        <v>4672.89719626168</v>
      </c>
      <c r="N122" s="20" t="n">
        <f aca="false">M122/(100%+11.5%)</f>
        <v>4190.93918947236</v>
      </c>
      <c r="O122" s="19" t="n">
        <f aca="false">N122*11.5%</f>
        <v>481.958006789322</v>
      </c>
      <c r="P122" s="21"/>
      <c r="Q122" s="22" t="s">
        <v>27</v>
      </c>
      <c r="R122" s="21"/>
      <c r="S122" s="23" t="s">
        <v>508</v>
      </c>
      <c r="T122" s="24"/>
      <c r="U122" s="16"/>
      <c r="V122" s="13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</row>
    <row r="123" customFormat="false" ht="15.75" hidden="false" customHeight="false" outlineLevel="0" collapsed="false">
      <c r="A123" s="11" t="n">
        <v>120</v>
      </c>
      <c r="B123" s="12" t="n">
        <v>46281</v>
      </c>
      <c r="C123" s="26" t="s">
        <v>140</v>
      </c>
      <c r="D123" s="14" t="s">
        <v>509</v>
      </c>
      <c r="E123" s="13" t="n">
        <v>40108</v>
      </c>
      <c r="F123" s="15" t="s">
        <v>510</v>
      </c>
      <c r="G123" s="16" t="s">
        <v>77</v>
      </c>
      <c r="H123" s="13" t="s">
        <v>23</v>
      </c>
      <c r="I123" s="17" t="s">
        <v>24</v>
      </c>
      <c r="J123" s="13" t="s">
        <v>32</v>
      </c>
      <c r="K123" s="16" t="s">
        <v>511</v>
      </c>
      <c r="L123" s="18" t="n">
        <v>5000</v>
      </c>
      <c r="M123" s="19" t="n">
        <f aca="false">L123/(100%+7%)</f>
        <v>4672.89719626168</v>
      </c>
      <c r="N123" s="20" t="n">
        <f aca="false">M123/(100%+11.5%)</f>
        <v>4190.93918947236</v>
      </c>
      <c r="O123" s="19" t="n">
        <f aca="false">N123*11.5%</f>
        <v>481.958006789322</v>
      </c>
      <c r="P123" s="21"/>
      <c r="Q123" s="22" t="s">
        <v>27</v>
      </c>
      <c r="R123" s="21"/>
      <c r="S123" s="13" t="s">
        <v>512</v>
      </c>
      <c r="T123" s="13"/>
      <c r="U123" s="16"/>
      <c r="V123" s="13"/>
      <c r="W123" s="25"/>
      <c r="X123" s="13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</row>
    <row r="124" customFormat="false" ht="15.75" hidden="false" customHeight="false" outlineLevel="0" collapsed="false">
      <c r="A124" s="11" t="n">
        <v>121</v>
      </c>
      <c r="B124" s="12" t="n">
        <v>46281</v>
      </c>
      <c r="C124" s="26" t="s">
        <v>120</v>
      </c>
      <c r="D124" s="14" t="s">
        <v>513</v>
      </c>
      <c r="E124" s="13" t="n">
        <v>70081</v>
      </c>
      <c r="F124" s="15" t="s">
        <v>514</v>
      </c>
      <c r="G124" s="16" t="s">
        <v>77</v>
      </c>
      <c r="H124" s="13" t="s">
        <v>23</v>
      </c>
      <c r="I124" s="17" t="s">
        <v>24</v>
      </c>
      <c r="J124" s="13" t="s">
        <v>32</v>
      </c>
      <c r="K124" s="16" t="s">
        <v>511</v>
      </c>
      <c r="L124" s="18" t="n">
        <v>5000</v>
      </c>
      <c r="M124" s="19" t="n">
        <f aca="false">L124/(100%+7%)</f>
        <v>4672.89719626168</v>
      </c>
      <c r="N124" s="20" t="n">
        <f aca="false">M124/(100%+11.5%)</f>
        <v>4190.93918947236</v>
      </c>
      <c r="O124" s="19" t="n">
        <f aca="false">N124*11.5%</f>
        <v>481.958006789322</v>
      </c>
      <c r="P124" s="21"/>
      <c r="Q124" s="22" t="s">
        <v>27</v>
      </c>
      <c r="R124" s="21"/>
      <c r="S124" s="13" t="s">
        <v>515</v>
      </c>
      <c r="T124" s="13"/>
      <c r="U124" s="16"/>
      <c r="V124" s="13"/>
      <c r="W124" s="25"/>
      <c r="X124" s="13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</row>
    <row r="125" customFormat="false" ht="15.75" hidden="false" customHeight="false" outlineLevel="0" collapsed="false">
      <c r="A125" s="11" t="n">
        <v>122</v>
      </c>
      <c r="B125" s="12" t="n">
        <v>46281</v>
      </c>
      <c r="C125" s="26" t="s">
        <v>115</v>
      </c>
      <c r="D125" s="14" t="s">
        <v>516</v>
      </c>
      <c r="E125" s="13" t="n">
        <v>40163</v>
      </c>
      <c r="F125" s="15" t="s">
        <v>517</v>
      </c>
      <c r="G125" s="16" t="s">
        <v>77</v>
      </c>
      <c r="H125" s="13" t="s">
        <v>23</v>
      </c>
      <c r="I125" s="17" t="s">
        <v>24</v>
      </c>
      <c r="J125" s="13" t="s">
        <v>32</v>
      </c>
      <c r="K125" s="16" t="s">
        <v>511</v>
      </c>
      <c r="L125" s="18" t="n">
        <v>5000</v>
      </c>
      <c r="M125" s="19" t="n">
        <f aca="false">L125/(100%+7%)</f>
        <v>4672.89719626168</v>
      </c>
      <c r="N125" s="20" t="n">
        <f aca="false">M125/(100%+11.5%)</f>
        <v>4190.93918947236</v>
      </c>
      <c r="O125" s="19" t="n">
        <f aca="false">N125*11.5%</f>
        <v>481.958006789322</v>
      </c>
      <c r="P125" s="21"/>
      <c r="Q125" s="22" t="s">
        <v>27</v>
      </c>
      <c r="R125" s="21"/>
      <c r="S125" s="13" t="s">
        <v>518</v>
      </c>
      <c r="T125" s="13"/>
      <c r="U125" s="16"/>
      <c r="V125" s="13"/>
      <c r="W125" s="25"/>
      <c r="X125" s="13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</row>
    <row r="126" customFormat="false" ht="15.75" hidden="false" customHeight="false" outlineLevel="0" collapsed="false">
      <c r="A126" s="11" t="n">
        <v>123</v>
      </c>
      <c r="B126" s="12" t="n">
        <v>46281</v>
      </c>
      <c r="C126" s="26" t="s">
        <v>180</v>
      </c>
      <c r="D126" s="14" t="s">
        <v>519</v>
      </c>
      <c r="E126" s="13" t="n">
        <v>42227</v>
      </c>
      <c r="F126" s="15" t="s">
        <v>520</v>
      </c>
      <c r="G126" s="16" t="s">
        <v>22</v>
      </c>
      <c r="H126" s="13" t="s">
        <v>23</v>
      </c>
      <c r="I126" s="17" t="s">
        <v>24</v>
      </c>
      <c r="J126" s="13" t="s">
        <v>32</v>
      </c>
      <c r="K126" s="16" t="s">
        <v>521</v>
      </c>
      <c r="L126" s="18" t="n">
        <v>10000</v>
      </c>
      <c r="M126" s="19" t="n">
        <f aca="false">L126/(100%+7%)</f>
        <v>9345.79439252336</v>
      </c>
      <c r="N126" s="20" t="n">
        <f aca="false">M126/(100%+11.5%)</f>
        <v>8381.87837894472</v>
      </c>
      <c r="O126" s="19" t="n">
        <f aca="false">N126*11.5%</f>
        <v>963.916013578643</v>
      </c>
      <c r="P126" s="21"/>
      <c r="Q126" s="22" t="s">
        <v>27</v>
      </c>
      <c r="R126" s="21"/>
      <c r="S126" s="23" t="s">
        <v>522</v>
      </c>
      <c r="T126" s="24"/>
      <c r="U126" s="16"/>
      <c r="V126" s="13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</row>
    <row r="127" customFormat="false" ht="15.75" hidden="false" customHeight="false" outlineLevel="0" collapsed="false">
      <c r="A127" s="11" t="n">
        <v>124</v>
      </c>
      <c r="B127" s="12" t="n">
        <v>46282</v>
      </c>
      <c r="C127" s="13" t="s">
        <v>124</v>
      </c>
      <c r="D127" s="14" t="s">
        <v>523</v>
      </c>
      <c r="E127" s="13"/>
      <c r="F127" s="15" t="s">
        <v>524</v>
      </c>
      <c r="G127" s="16" t="s">
        <v>63</v>
      </c>
      <c r="H127" s="13" t="s">
        <v>23</v>
      </c>
      <c r="I127" s="17" t="s">
        <v>24</v>
      </c>
      <c r="J127" s="13" t="s">
        <v>32</v>
      </c>
      <c r="K127" s="16" t="s">
        <v>525</v>
      </c>
      <c r="L127" s="18" t="n">
        <v>5000</v>
      </c>
      <c r="M127" s="19" t="n">
        <f aca="false">L127/(100%+7%)</f>
        <v>4672.89719626168</v>
      </c>
      <c r="N127" s="20" t="n">
        <f aca="false">M127/(100%+11.5%)</f>
        <v>4190.93918947236</v>
      </c>
      <c r="O127" s="19" t="n">
        <f aca="false">N127*11.5%</f>
        <v>481.958006789322</v>
      </c>
      <c r="P127" s="21"/>
      <c r="Q127" s="22" t="s">
        <v>27</v>
      </c>
      <c r="R127" s="21"/>
      <c r="S127" s="23" t="s">
        <v>526</v>
      </c>
      <c r="T127" s="24"/>
      <c r="U127" s="16"/>
      <c r="V127" s="13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</row>
    <row r="128" customFormat="false" ht="15.75" hidden="false" customHeight="false" outlineLevel="0" collapsed="false">
      <c r="A128" s="11" t="n">
        <v>125</v>
      </c>
      <c r="B128" s="12" t="n">
        <v>46283</v>
      </c>
      <c r="C128" s="13" t="s">
        <v>527</v>
      </c>
      <c r="D128" s="14" t="s">
        <v>528</v>
      </c>
      <c r="E128" s="13"/>
      <c r="F128" s="15" t="s">
        <v>529</v>
      </c>
      <c r="G128" s="16" t="s">
        <v>297</v>
      </c>
      <c r="H128" s="13" t="s">
        <v>23</v>
      </c>
      <c r="I128" s="28" t="s">
        <v>298</v>
      </c>
      <c r="J128" s="13" t="s">
        <v>25</v>
      </c>
      <c r="K128" s="16" t="s">
        <v>530</v>
      </c>
      <c r="L128" s="18" t="n">
        <v>5000</v>
      </c>
      <c r="M128" s="19" t="n">
        <f aca="false">L128/(100%+7%)</f>
        <v>4672.89719626168</v>
      </c>
      <c r="N128" s="20" t="n">
        <f aca="false">M128/(100%+11.5%)</f>
        <v>4190.93918947236</v>
      </c>
      <c r="O128" s="19" t="n">
        <f aca="false">N128*11.5%</f>
        <v>481.958006789322</v>
      </c>
      <c r="P128" s="21"/>
      <c r="Q128" s="22" t="s">
        <v>27</v>
      </c>
      <c r="R128" s="21"/>
      <c r="S128" s="23" t="s">
        <v>531</v>
      </c>
      <c r="T128" s="29"/>
      <c r="U128" s="16"/>
      <c r="V128" s="13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</row>
    <row r="129" customFormat="false" ht="15.75" hidden="false" customHeight="false" outlineLevel="0" collapsed="false">
      <c r="A129" s="11" t="n">
        <v>126</v>
      </c>
      <c r="B129" s="12" t="n">
        <v>46283</v>
      </c>
      <c r="C129" s="13" t="s">
        <v>128</v>
      </c>
      <c r="D129" s="14" t="s">
        <v>532</v>
      </c>
      <c r="E129" s="13"/>
      <c r="F129" s="15" t="s">
        <v>533</v>
      </c>
      <c r="G129" s="16" t="s">
        <v>63</v>
      </c>
      <c r="H129" s="13" t="s">
        <v>23</v>
      </c>
      <c r="I129" s="17" t="s">
        <v>24</v>
      </c>
      <c r="J129" s="13" t="s">
        <v>32</v>
      </c>
      <c r="K129" s="16" t="s">
        <v>534</v>
      </c>
      <c r="L129" s="18" t="n">
        <v>5000</v>
      </c>
      <c r="M129" s="19" t="n">
        <f aca="false">L129/(100%+7%)</f>
        <v>4672.89719626168</v>
      </c>
      <c r="N129" s="20" t="n">
        <f aca="false">M129/(100%+11.5%)</f>
        <v>4190.93918947236</v>
      </c>
      <c r="O129" s="19" t="n">
        <f aca="false">N129*11.5%</f>
        <v>481.958006789322</v>
      </c>
      <c r="P129" s="21"/>
      <c r="Q129" s="22" t="s">
        <v>27</v>
      </c>
      <c r="R129" s="21"/>
      <c r="S129" s="23" t="s">
        <v>535</v>
      </c>
      <c r="T129" s="24"/>
      <c r="U129" s="16"/>
      <c r="V129" s="13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</row>
    <row r="130" customFormat="false" ht="15.75" hidden="false" customHeight="false" outlineLevel="0" collapsed="false">
      <c r="A130" s="11" t="n">
        <v>127</v>
      </c>
      <c r="B130" s="12" t="n">
        <v>46283</v>
      </c>
      <c r="C130" s="26" t="s">
        <v>149</v>
      </c>
      <c r="D130" s="14" t="s">
        <v>536</v>
      </c>
      <c r="E130" s="13" t="n">
        <v>42226</v>
      </c>
      <c r="F130" s="15" t="s">
        <v>537</v>
      </c>
      <c r="G130" s="16" t="s">
        <v>63</v>
      </c>
      <c r="H130" s="13" t="s">
        <v>23</v>
      </c>
      <c r="I130" s="17" t="s">
        <v>24</v>
      </c>
      <c r="J130" s="13" t="s">
        <v>32</v>
      </c>
      <c r="K130" s="16" t="s">
        <v>538</v>
      </c>
      <c r="L130" s="18" t="n">
        <v>5000</v>
      </c>
      <c r="M130" s="19" t="n">
        <f aca="false">L130/(100%+7%)</f>
        <v>4672.89719626168</v>
      </c>
      <c r="N130" s="20" t="n">
        <f aca="false">M130/(100%+11.5%)</f>
        <v>4190.93918947236</v>
      </c>
      <c r="O130" s="19" t="n">
        <f aca="false">N130*11.5%</f>
        <v>481.958006789322</v>
      </c>
      <c r="P130" s="21"/>
      <c r="Q130" s="22" t="s">
        <v>27</v>
      </c>
      <c r="R130" s="21"/>
      <c r="S130" s="23" t="s">
        <v>539</v>
      </c>
      <c r="T130" s="24"/>
      <c r="U130" s="16"/>
      <c r="V130" s="13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</row>
    <row r="131" customFormat="false" ht="15.75" hidden="false" customHeight="false" outlineLevel="0" collapsed="false">
      <c r="A131" s="11" t="n">
        <v>128</v>
      </c>
      <c r="B131" s="12" t="n">
        <v>46283</v>
      </c>
      <c r="C131" s="26" t="s">
        <v>169</v>
      </c>
      <c r="D131" s="14" t="s">
        <v>540</v>
      </c>
      <c r="E131" s="13" t="n">
        <v>40185</v>
      </c>
      <c r="F131" s="15" t="s">
        <v>541</v>
      </c>
      <c r="G131" s="16" t="s">
        <v>63</v>
      </c>
      <c r="H131" s="13" t="s">
        <v>23</v>
      </c>
      <c r="I131" s="17" t="s">
        <v>24</v>
      </c>
      <c r="J131" s="13" t="s">
        <v>32</v>
      </c>
      <c r="K131" s="16" t="s">
        <v>530</v>
      </c>
      <c r="L131" s="18" t="n">
        <v>5000</v>
      </c>
      <c r="M131" s="19" t="n">
        <f aca="false">L131/(100%+7%)</f>
        <v>4672.89719626168</v>
      </c>
      <c r="N131" s="20" t="n">
        <f aca="false">M131/(100%+11.5%)</f>
        <v>4190.93918947236</v>
      </c>
      <c r="O131" s="19" t="n">
        <f aca="false">N131*11.5%</f>
        <v>481.958006789322</v>
      </c>
      <c r="P131" s="21"/>
      <c r="Q131" s="22" t="s">
        <v>27</v>
      </c>
      <c r="R131" s="21"/>
      <c r="S131" s="23" t="s">
        <v>542</v>
      </c>
      <c r="T131" s="24"/>
      <c r="U131" s="16"/>
      <c r="V131" s="13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</row>
    <row r="132" customFormat="false" ht="15.75" hidden="false" customHeight="false" outlineLevel="0" collapsed="false">
      <c r="A132" s="11" t="n">
        <v>129</v>
      </c>
      <c r="B132" s="12" t="n">
        <v>46286</v>
      </c>
      <c r="C132" s="13" t="s">
        <v>315</v>
      </c>
      <c r="D132" s="14" t="s">
        <v>315</v>
      </c>
      <c r="E132" s="13"/>
      <c r="F132" s="15" t="s">
        <v>543</v>
      </c>
      <c r="G132" s="16" t="s">
        <v>22</v>
      </c>
      <c r="H132" s="13" t="s">
        <v>23</v>
      </c>
      <c r="I132" s="17" t="s">
        <v>24</v>
      </c>
      <c r="J132" s="13" t="s">
        <v>25</v>
      </c>
      <c r="K132" s="16" t="s">
        <v>544</v>
      </c>
      <c r="L132" s="18" t="n">
        <v>10000</v>
      </c>
      <c r="M132" s="19" t="n">
        <f aca="false">L132/(100%+7%)</f>
        <v>9345.79439252336</v>
      </c>
      <c r="N132" s="20" t="n">
        <f aca="false">M132/(100%+11.5%)</f>
        <v>8381.87837894472</v>
      </c>
      <c r="O132" s="19" t="n">
        <f aca="false">N132*11.5%</f>
        <v>963.916013578643</v>
      </c>
      <c r="P132" s="21"/>
      <c r="Q132" s="22" t="s">
        <v>27</v>
      </c>
      <c r="R132" s="21"/>
      <c r="S132" s="23" t="s">
        <v>545</v>
      </c>
      <c r="T132" s="24"/>
      <c r="U132" s="16"/>
      <c r="V132" s="13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</row>
    <row r="133" customFormat="false" ht="15.75" hidden="false" customHeight="false" outlineLevel="0" collapsed="false">
      <c r="A133" s="11" t="n">
        <v>130</v>
      </c>
      <c r="B133" s="12" t="n">
        <v>46286</v>
      </c>
      <c r="C133" s="27" t="s">
        <v>260</v>
      </c>
      <c r="D133" s="14" t="s">
        <v>546</v>
      </c>
      <c r="E133" s="13" t="n">
        <v>40102</v>
      </c>
      <c r="F133" s="15" t="s">
        <v>547</v>
      </c>
      <c r="G133" s="16" t="s">
        <v>22</v>
      </c>
      <c r="H133" s="13" t="s">
        <v>23</v>
      </c>
      <c r="I133" s="17" t="s">
        <v>24</v>
      </c>
      <c r="J133" s="13" t="s">
        <v>32</v>
      </c>
      <c r="K133" s="16" t="s">
        <v>548</v>
      </c>
      <c r="L133" s="18" t="n">
        <v>3000</v>
      </c>
      <c r="M133" s="19" t="n">
        <f aca="false">L133/(100%+7%)</f>
        <v>2803.73831775701</v>
      </c>
      <c r="N133" s="20" t="n">
        <f aca="false">M133/(100%+11.5%)</f>
        <v>2514.56351368342</v>
      </c>
      <c r="O133" s="19" t="n">
        <f aca="false">N133*11.5%</f>
        <v>289.174804073593</v>
      </c>
      <c r="P133" s="21"/>
      <c r="Q133" s="22" t="s">
        <v>27</v>
      </c>
      <c r="R133" s="21"/>
      <c r="S133" s="23" t="s">
        <v>549</v>
      </c>
      <c r="T133" s="24"/>
      <c r="U133" s="16"/>
      <c r="V133" s="13"/>
      <c r="W133" s="25"/>
      <c r="X133" s="13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</row>
    <row r="134" customFormat="false" ht="15.75" hidden="false" customHeight="false" outlineLevel="0" collapsed="false">
      <c r="A134" s="11" t="n">
        <v>130</v>
      </c>
      <c r="B134" s="12" t="n">
        <v>46286</v>
      </c>
      <c r="C134" s="27" t="s">
        <v>447</v>
      </c>
      <c r="D134" s="14" t="s">
        <v>550</v>
      </c>
      <c r="E134" s="13" t="n">
        <v>70124</v>
      </c>
      <c r="F134" s="15" t="s">
        <v>551</v>
      </c>
      <c r="G134" s="16" t="s">
        <v>22</v>
      </c>
      <c r="H134" s="13" t="s">
        <v>23</v>
      </c>
      <c r="I134" s="17" t="s">
        <v>24</v>
      </c>
      <c r="J134" s="13" t="s">
        <v>32</v>
      </c>
      <c r="K134" s="16" t="s">
        <v>548</v>
      </c>
      <c r="L134" s="18" t="n">
        <v>3000</v>
      </c>
      <c r="M134" s="19" t="n">
        <f aca="false">L134/(100%+7%)</f>
        <v>2803.73831775701</v>
      </c>
      <c r="N134" s="20" t="n">
        <f aca="false">M134/(100%+11.5%)</f>
        <v>2514.56351368342</v>
      </c>
      <c r="O134" s="19" t="n">
        <f aca="false">N134*11.5%</f>
        <v>289.174804073593</v>
      </c>
      <c r="P134" s="21"/>
      <c r="Q134" s="22" t="s">
        <v>27</v>
      </c>
      <c r="R134" s="21"/>
      <c r="S134" s="23" t="s">
        <v>549</v>
      </c>
      <c r="T134" s="24"/>
      <c r="U134" s="16"/>
      <c r="V134" s="13"/>
      <c r="W134" s="25"/>
      <c r="X134" s="13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</row>
    <row r="135" customFormat="false" ht="15.75" hidden="false" customHeight="false" outlineLevel="0" collapsed="false">
      <c r="A135" s="11" t="n">
        <v>130</v>
      </c>
      <c r="B135" s="12" t="n">
        <v>46286</v>
      </c>
      <c r="C135" s="27" t="s">
        <v>402</v>
      </c>
      <c r="D135" s="14" t="s">
        <v>552</v>
      </c>
      <c r="E135" s="13" t="n">
        <v>40128</v>
      </c>
      <c r="F135" s="15" t="s">
        <v>553</v>
      </c>
      <c r="G135" s="16" t="s">
        <v>22</v>
      </c>
      <c r="H135" s="13" t="s">
        <v>23</v>
      </c>
      <c r="I135" s="17" t="s">
        <v>24</v>
      </c>
      <c r="J135" s="13" t="s">
        <v>32</v>
      </c>
      <c r="K135" s="16" t="s">
        <v>548</v>
      </c>
      <c r="L135" s="18" t="n">
        <v>3000</v>
      </c>
      <c r="M135" s="19" t="n">
        <f aca="false">L135/(100%+7%)</f>
        <v>2803.73831775701</v>
      </c>
      <c r="N135" s="20" t="n">
        <f aca="false">M135/(100%+11.5%)</f>
        <v>2514.56351368342</v>
      </c>
      <c r="O135" s="19" t="n">
        <f aca="false">N135*11.5%</f>
        <v>289.174804073593</v>
      </c>
      <c r="P135" s="21"/>
      <c r="Q135" s="22" t="s">
        <v>27</v>
      </c>
      <c r="R135" s="21"/>
      <c r="S135" s="23" t="s">
        <v>549</v>
      </c>
      <c r="T135" s="24"/>
      <c r="U135" s="16"/>
      <c r="V135" s="13"/>
      <c r="W135" s="25"/>
      <c r="X135" s="13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</row>
    <row r="136" customFormat="false" ht="15.75" hidden="false" customHeight="false" outlineLevel="0" collapsed="false">
      <c r="A136" s="11" t="n">
        <v>130</v>
      </c>
      <c r="B136" s="12" t="n">
        <v>46286</v>
      </c>
      <c r="C136" s="27" t="s">
        <v>453</v>
      </c>
      <c r="D136" s="14" t="s">
        <v>554</v>
      </c>
      <c r="E136" s="13" t="n">
        <v>40133</v>
      </c>
      <c r="F136" s="15" t="s">
        <v>555</v>
      </c>
      <c r="G136" s="16" t="s">
        <v>22</v>
      </c>
      <c r="H136" s="13" t="s">
        <v>23</v>
      </c>
      <c r="I136" s="17" t="s">
        <v>24</v>
      </c>
      <c r="J136" s="13" t="s">
        <v>32</v>
      </c>
      <c r="K136" s="16" t="s">
        <v>548</v>
      </c>
      <c r="L136" s="18" t="n">
        <v>3000</v>
      </c>
      <c r="M136" s="19" t="n">
        <f aca="false">L136/(100%+7%)</f>
        <v>2803.73831775701</v>
      </c>
      <c r="N136" s="20" t="n">
        <f aca="false">M136/(100%+11.5%)</f>
        <v>2514.56351368342</v>
      </c>
      <c r="O136" s="19" t="n">
        <f aca="false">N136*11.5%</f>
        <v>289.174804073593</v>
      </c>
      <c r="P136" s="21"/>
      <c r="Q136" s="22" t="s">
        <v>27</v>
      </c>
      <c r="R136" s="21"/>
      <c r="S136" s="23" t="s">
        <v>549</v>
      </c>
      <c r="T136" s="24"/>
      <c r="U136" s="16"/>
      <c r="V136" s="13"/>
      <c r="W136" s="25"/>
      <c r="X136" s="13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</row>
    <row r="137" customFormat="false" ht="15.75" hidden="false" customHeight="false" outlineLevel="0" collapsed="false">
      <c r="A137" s="11" t="n">
        <v>130</v>
      </c>
      <c r="B137" s="12" t="n">
        <v>46286</v>
      </c>
      <c r="C137" s="27" t="s">
        <v>70</v>
      </c>
      <c r="D137" s="14" t="s">
        <v>556</v>
      </c>
      <c r="E137" s="13" t="n">
        <v>70132</v>
      </c>
      <c r="F137" s="15" t="s">
        <v>557</v>
      </c>
      <c r="G137" s="16" t="s">
        <v>22</v>
      </c>
      <c r="H137" s="13" t="s">
        <v>23</v>
      </c>
      <c r="I137" s="17" t="s">
        <v>24</v>
      </c>
      <c r="J137" s="13" t="s">
        <v>32</v>
      </c>
      <c r="K137" s="16" t="s">
        <v>548</v>
      </c>
      <c r="L137" s="18" t="n">
        <v>3000</v>
      </c>
      <c r="M137" s="19" t="n">
        <f aca="false">L137/(100%+7%)</f>
        <v>2803.73831775701</v>
      </c>
      <c r="N137" s="20" t="n">
        <f aca="false">M137/(100%+11.5%)</f>
        <v>2514.56351368342</v>
      </c>
      <c r="O137" s="19" t="n">
        <f aca="false">N137*11.5%</f>
        <v>289.174804073593</v>
      </c>
      <c r="P137" s="21"/>
      <c r="Q137" s="22" t="s">
        <v>27</v>
      </c>
      <c r="R137" s="21"/>
      <c r="S137" s="23" t="s">
        <v>549</v>
      </c>
      <c r="T137" s="24"/>
      <c r="U137" s="16"/>
      <c r="V137" s="13"/>
      <c r="W137" s="25"/>
      <c r="X137" s="13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</row>
    <row r="138" customFormat="false" ht="15.75" hidden="false" customHeight="false" outlineLevel="0" collapsed="false">
      <c r="A138" s="11" t="n">
        <v>131</v>
      </c>
      <c r="B138" s="12" t="n">
        <v>46286</v>
      </c>
      <c r="C138" s="26" t="s">
        <v>19</v>
      </c>
      <c r="D138" s="14" t="s">
        <v>558</v>
      </c>
      <c r="E138" s="13" t="n">
        <v>20067</v>
      </c>
      <c r="F138" s="15" t="s">
        <v>559</v>
      </c>
      <c r="G138" s="16" t="s">
        <v>22</v>
      </c>
      <c r="H138" s="13" t="s">
        <v>23</v>
      </c>
      <c r="I138" s="17" t="s">
        <v>24</v>
      </c>
      <c r="J138" s="13" t="s">
        <v>25</v>
      </c>
      <c r="K138" s="16" t="s">
        <v>548</v>
      </c>
      <c r="L138" s="18" t="n">
        <v>10000</v>
      </c>
      <c r="M138" s="19" t="n">
        <f aca="false">L138/(100%+7%)</f>
        <v>9345.79439252336</v>
      </c>
      <c r="N138" s="20" t="n">
        <f aca="false">M138/(100%+11.5%)</f>
        <v>8381.87837894472</v>
      </c>
      <c r="O138" s="19" t="n">
        <f aca="false">N138*11.5%</f>
        <v>963.916013578643</v>
      </c>
      <c r="P138" s="21"/>
      <c r="Q138" s="22" t="s">
        <v>27</v>
      </c>
      <c r="R138" s="21"/>
      <c r="S138" s="23" t="s">
        <v>560</v>
      </c>
      <c r="T138" s="24"/>
      <c r="U138" s="16"/>
      <c r="V138" s="13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</row>
    <row r="139" customFormat="false" ht="15.75" hidden="false" customHeight="false" outlineLevel="0" collapsed="false">
      <c r="A139" s="11" t="n">
        <v>132</v>
      </c>
      <c r="B139" s="12" t="n">
        <v>46288</v>
      </c>
      <c r="C139" s="13" t="s">
        <v>51</v>
      </c>
      <c r="D139" s="14" t="s">
        <v>51</v>
      </c>
      <c r="E139" s="13"/>
      <c r="F139" s="15" t="s">
        <v>561</v>
      </c>
      <c r="G139" s="16" t="s">
        <v>22</v>
      </c>
      <c r="H139" s="13" t="s">
        <v>23</v>
      </c>
      <c r="I139" s="17" t="s">
        <v>24</v>
      </c>
      <c r="J139" s="13" t="s">
        <v>25</v>
      </c>
      <c r="K139" s="16" t="s">
        <v>562</v>
      </c>
      <c r="L139" s="18" t="n">
        <v>10000</v>
      </c>
      <c r="M139" s="19" t="n">
        <f aca="false">L139/(100%+7%)</f>
        <v>9345.79439252336</v>
      </c>
      <c r="N139" s="20" t="n">
        <f aca="false">M139/(100%+11.5%)</f>
        <v>8381.87837894472</v>
      </c>
      <c r="O139" s="19" t="n">
        <f aca="false">N139*11.5%</f>
        <v>963.916013578643</v>
      </c>
      <c r="P139" s="21"/>
      <c r="Q139" s="22" t="s">
        <v>27</v>
      </c>
      <c r="R139" s="21"/>
      <c r="S139" s="23" t="s">
        <v>563</v>
      </c>
      <c r="T139" s="24"/>
      <c r="U139" s="16"/>
      <c r="V139" s="13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</row>
    <row r="140" customFormat="false" ht="15.75" hidden="false" customHeight="false" outlineLevel="0" collapsed="false">
      <c r="A140" s="11" t="n">
        <v>133</v>
      </c>
      <c r="B140" s="12" t="n">
        <v>46290</v>
      </c>
      <c r="C140" s="13" t="s">
        <v>564</v>
      </c>
      <c r="D140" s="14" t="s">
        <v>565</v>
      </c>
      <c r="E140" s="13"/>
      <c r="F140" s="15" t="s">
        <v>566</v>
      </c>
      <c r="G140" s="16" t="s">
        <v>297</v>
      </c>
      <c r="H140" s="13" t="s">
        <v>23</v>
      </c>
      <c r="I140" s="28" t="s">
        <v>298</v>
      </c>
      <c r="J140" s="13" t="s">
        <v>25</v>
      </c>
      <c r="K140" s="16" t="s">
        <v>567</v>
      </c>
      <c r="L140" s="18" t="n">
        <v>5000</v>
      </c>
      <c r="M140" s="19" t="n">
        <f aca="false">L140/(100%+7%)</f>
        <v>4672.89719626168</v>
      </c>
      <c r="N140" s="20" t="n">
        <f aca="false">M140/(100%+11.5%)</f>
        <v>4190.93918947236</v>
      </c>
      <c r="O140" s="19" t="n">
        <f aca="false">N140*11.5%</f>
        <v>481.958006789322</v>
      </c>
      <c r="P140" s="21"/>
      <c r="Q140" s="22" t="s">
        <v>27</v>
      </c>
      <c r="R140" s="21"/>
      <c r="S140" s="23" t="s">
        <v>568</v>
      </c>
      <c r="T140" s="29"/>
      <c r="U140" s="16"/>
      <c r="V140" s="13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</row>
    <row r="141" customFormat="false" ht="15.75" hidden="false" customHeight="false" outlineLevel="0" collapsed="false">
      <c r="A141" s="11" t="n">
        <v>134</v>
      </c>
      <c r="B141" s="12" t="n">
        <v>46293</v>
      </c>
      <c r="C141" s="13" t="s">
        <v>569</v>
      </c>
      <c r="D141" s="14" t="s">
        <v>570</v>
      </c>
      <c r="E141" s="13"/>
      <c r="F141" s="15" t="s">
        <v>571</v>
      </c>
      <c r="G141" s="16" t="s">
        <v>22</v>
      </c>
      <c r="H141" s="13" t="s">
        <v>23</v>
      </c>
      <c r="I141" s="17" t="s">
        <v>24</v>
      </c>
      <c r="J141" s="13" t="s">
        <v>25</v>
      </c>
      <c r="K141" s="16" t="s">
        <v>572</v>
      </c>
      <c r="L141" s="18" t="n">
        <v>10000</v>
      </c>
      <c r="M141" s="19" t="n">
        <f aca="false">L141/(100%+7%)</f>
        <v>9345.79439252336</v>
      </c>
      <c r="N141" s="20" t="n">
        <f aca="false">M141/(100%+11.5%)</f>
        <v>8381.87837894472</v>
      </c>
      <c r="O141" s="19" t="n">
        <f aca="false">N141*11.5%</f>
        <v>963.916013578643</v>
      </c>
      <c r="P141" s="21"/>
      <c r="Q141" s="22" t="s">
        <v>27</v>
      </c>
      <c r="R141" s="21"/>
      <c r="S141" s="23" t="s">
        <v>573</v>
      </c>
      <c r="T141" s="24"/>
      <c r="U141" s="16"/>
      <c r="V141" s="13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</row>
    <row r="142" customFormat="false" ht="15.75" hidden="false" customHeight="false" outlineLevel="0" collapsed="false">
      <c r="A142" s="11" t="n">
        <v>135</v>
      </c>
      <c r="B142" s="12" t="n">
        <v>46293</v>
      </c>
      <c r="C142" s="26" t="s">
        <v>157</v>
      </c>
      <c r="D142" s="14" t="s">
        <v>574</v>
      </c>
      <c r="E142" s="13" t="n">
        <v>70037</v>
      </c>
      <c r="F142" s="15" t="s">
        <v>575</v>
      </c>
      <c r="G142" s="16" t="s">
        <v>22</v>
      </c>
      <c r="H142" s="13" t="s">
        <v>23</v>
      </c>
      <c r="I142" s="17" t="s">
        <v>24</v>
      </c>
      <c r="J142" s="13" t="s">
        <v>25</v>
      </c>
      <c r="K142" s="16" t="s">
        <v>572</v>
      </c>
      <c r="L142" s="18" t="n">
        <v>10000</v>
      </c>
      <c r="M142" s="19" t="n">
        <f aca="false">L142/(100%+7%)</f>
        <v>9345.79439252336</v>
      </c>
      <c r="N142" s="20" t="n">
        <f aca="false">M142/(100%+11.5%)</f>
        <v>8381.87837894472</v>
      </c>
      <c r="O142" s="19" t="n">
        <f aca="false">N142*11.5%</f>
        <v>963.916013578643</v>
      </c>
      <c r="P142" s="21"/>
      <c r="Q142" s="22" t="s">
        <v>27</v>
      </c>
      <c r="R142" s="21"/>
      <c r="S142" s="23" t="s">
        <v>576</v>
      </c>
      <c r="T142" s="24"/>
      <c r="U142" s="16"/>
      <c r="V142" s="13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</row>
    <row r="143" customFormat="false" ht="15.75" hidden="false" customHeight="false" outlineLevel="0" collapsed="false">
      <c r="A143" s="11" t="n">
        <v>136</v>
      </c>
      <c r="B143" s="12" t="n">
        <v>46293</v>
      </c>
      <c r="C143" s="13" t="s">
        <v>577</v>
      </c>
      <c r="D143" s="14" t="s">
        <v>578</v>
      </c>
      <c r="E143" s="13"/>
      <c r="F143" s="15" t="s">
        <v>579</v>
      </c>
      <c r="G143" s="16" t="s">
        <v>63</v>
      </c>
      <c r="H143" s="13" t="s">
        <v>23</v>
      </c>
      <c r="I143" s="17" t="s">
        <v>24</v>
      </c>
      <c r="J143" s="13" t="s">
        <v>25</v>
      </c>
      <c r="K143" s="16" t="s">
        <v>580</v>
      </c>
      <c r="L143" s="18" t="n">
        <v>10000</v>
      </c>
      <c r="M143" s="19" t="n">
        <f aca="false">L143/(100%+7%)</f>
        <v>9345.79439252336</v>
      </c>
      <c r="N143" s="20" t="n">
        <f aca="false">M143/(100%+11.5%)</f>
        <v>8381.87837894472</v>
      </c>
      <c r="O143" s="19" t="n">
        <f aca="false">N143*11.5%</f>
        <v>963.916013578643</v>
      </c>
      <c r="P143" s="21"/>
      <c r="Q143" s="22" t="s">
        <v>27</v>
      </c>
      <c r="R143" s="21"/>
      <c r="S143" s="23" t="s">
        <v>581</v>
      </c>
      <c r="T143" s="24"/>
      <c r="U143" s="16"/>
      <c r="V143" s="13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</row>
    <row r="144" customFormat="false" ht="15.75" hidden="false" customHeight="false" outlineLevel="0" collapsed="false">
      <c r="A144" s="30"/>
      <c r="B144" s="30"/>
      <c r="C144" s="30"/>
      <c r="D144" s="31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</row>
    <row r="145" customFormat="false" ht="15.75" hidden="false" customHeight="false" outlineLevel="0" collapsed="false">
      <c r="A145" s="30"/>
      <c r="B145" s="30"/>
      <c r="C145" s="30"/>
      <c r="D145" s="31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</row>
    <row r="146" customFormat="false" ht="15.75" hidden="false" customHeight="false" outlineLevel="0" collapsed="false">
      <c r="A146" s="30"/>
      <c r="B146" s="30"/>
      <c r="C146" s="30"/>
      <c r="D146" s="31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</row>
    <row r="147" customFormat="false" ht="15.75" hidden="false" customHeight="false" outlineLevel="0" collapsed="false">
      <c r="A147" s="30"/>
      <c r="B147" s="30"/>
      <c r="C147" s="30"/>
      <c r="D147" s="31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</row>
    <row r="148" customFormat="false" ht="15.75" hidden="false" customHeight="false" outlineLevel="0" collapsed="false">
      <c r="A148" s="30"/>
      <c r="B148" s="30"/>
      <c r="C148" s="30"/>
      <c r="D148" s="31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</row>
    <row r="149" customFormat="false" ht="15.75" hidden="false" customHeight="false" outlineLevel="0" collapsed="false">
      <c r="A149" s="30"/>
      <c r="B149" s="30"/>
      <c r="C149" s="30"/>
      <c r="D149" s="31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</row>
    <row r="150" customFormat="false" ht="15.75" hidden="false" customHeight="false" outlineLevel="0" collapsed="false">
      <c r="A150" s="30"/>
      <c r="B150" s="30"/>
      <c r="C150" s="30"/>
      <c r="D150" s="31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</row>
    <row r="151" customFormat="false" ht="15.75" hidden="false" customHeight="false" outlineLevel="0" collapsed="false">
      <c r="A151" s="30"/>
      <c r="B151" s="30"/>
      <c r="C151" s="30"/>
      <c r="D151" s="31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</row>
    <row r="152" customFormat="false" ht="15.75" hidden="false" customHeight="false" outlineLevel="0" collapsed="false">
      <c r="A152" s="30"/>
      <c r="B152" s="30"/>
      <c r="C152" s="30"/>
      <c r="D152" s="31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</row>
    <row r="153" customFormat="false" ht="15.75" hidden="false" customHeight="false" outlineLevel="0" collapsed="false">
      <c r="A153" s="30"/>
      <c r="B153" s="30"/>
      <c r="C153" s="30"/>
      <c r="D153" s="31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</row>
    <row r="154" customFormat="false" ht="15.75" hidden="false" customHeight="false" outlineLevel="0" collapsed="false">
      <c r="A154" s="30"/>
      <c r="B154" s="30"/>
      <c r="C154" s="30"/>
      <c r="D154" s="31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</row>
    <row r="155" customFormat="false" ht="15.75" hidden="false" customHeight="false" outlineLevel="0" collapsed="false">
      <c r="A155" s="30"/>
      <c r="B155" s="30"/>
      <c r="C155" s="30"/>
      <c r="D155" s="31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</row>
    <row r="156" customFormat="false" ht="15.75" hidden="false" customHeight="false" outlineLevel="0" collapsed="false">
      <c r="A156" s="30"/>
      <c r="B156" s="30"/>
      <c r="C156" s="30"/>
      <c r="D156" s="31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</row>
    <row r="157" customFormat="false" ht="15.75" hidden="false" customHeight="false" outlineLevel="0" collapsed="false">
      <c r="A157" s="30"/>
      <c r="B157" s="30"/>
      <c r="C157" s="30"/>
      <c r="D157" s="31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</row>
    <row r="158" customFormat="false" ht="15.75" hidden="false" customHeight="false" outlineLevel="0" collapsed="false">
      <c r="A158" s="30"/>
      <c r="B158" s="30"/>
      <c r="C158" s="30"/>
      <c r="D158" s="31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</row>
    <row r="159" customFormat="false" ht="15.75" hidden="false" customHeight="false" outlineLevel="0" collapsed="false">
      <c r="A159" s="30"/>
      <c r="B159" s="30"/>
      <c r="C159" s="30"/>
      <c r="D159" s="31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</row>
    <row r="160" customFormat="false" ht="15.75" hidden="false" customHeight="false" outlineLevel="0" collapsed="false">
      <c r="A160" s="30"/>
      <c r="B160" s="30"/>
      <c r="C160" s="30"/>
      <c r="D160" s="31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</row>
    <row r="161" customFormat="false" ht="15.75" hidden="false" customHeight="false" outlineLevel="0" collapsed="false">
      <c r="A161" s="30"/>
      <c r="B161" s="30"/>
      <c r="C161" s="30"/>
      <c r="D161" s="31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</row>
    <row r="162" customFormat="false" ht="15.75" hidden="false" customHeight="false" outlineLevel="0" collapsed="false">
      <c r="A162" s="30"/>
      <c r="B162" s="30"/>
      <c r="C162" s="30"/>
      <c r="D162" s="31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</row>
    <row r="163" customFormat="false" ht="15.75" hidden="false" customHeight="false" outlineLevel="0" collapsed="false">
      <c r="A163" s="30"/>
      <c r="B163" s="30"/>
      <c r="C163" s="30"/>
      <c r="D163" s="31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</row>
    <row r="164" customFormat="false" ht="15.75" hidden="false" customHeight="false" outlineLevel="0" collapsed="false">
      <c r="A164" s="30"/>
      <c r="B164" s="30"/>
      <c r="C164" s="30"/>
      <c r="D164" s="31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</row>
    <row r="165" customFormat="false" ht="15.75" hidden="false" customHeight="false" outlineLevel="0" collapsed="false">
      <c r="A165" s="30"/>
      <c r="B165" s="30"/>
      <c r="C165" s="30"/>
      <c r="D165" s="31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</row>
    <row r="166" customFormat="false" ht="15.75" hidden="false" customHeight="false" outlineLevel="0" collapsed="false">
      <c r="A166" s="30"/>
      <c r="B166" s="30"/>
      <c r="C166" s="30"/>
      <c r="D166" s="31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</row>
    <row r="167" customFormat="false" ht="15.75" hidden="false" customHeight="false" outlineLevel="0" collapsed="false">
      <c r="A167" s="30"/>
      <c r="B167" s="30"/>
      <c r="C167" s="30"/>
      <c r="D167" s="31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</row>
    <row r="168" customFormat="false" ht="15.75" hidden="false" customHeight="false" outlineLevel="0" collapsed="false">
      <c r="A168" s="30"/>
      <c r="B168" s="30"/>
      <c r="C168" s="30"/>
      <c r="D168" s="31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</row>
    <row r="169" customFormat="false" ht="15.75" hidden="false" customHeight="false" outlineLevel="0" collapsed="false">
      <c r="A169" s="30"/>
      <c r="B169" s="30"/>
      <c r="C169" s="30"/>
      <c r="D169" s="31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</row>
    <row r="170" customFormat="false" ht="15.75" hidden="false" customHeight="false" outlineLevel="0" collapsed="false">
      <c r="A170" s="30"/>
      <c r="B170" s="30"/>
      <c r="C170" s="30"/>
      <c r="D170" s="31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</row>
    <row r="171" customFormat="false" ht="15.75" hidden="false" customHeight="false" outlineLevel="0" collapsed="false">
      <c r="A171" s="30"/>
      <c r="B171" s="30"/>
      <c r="C171" s="30"/>
      <c r="D171" s="31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</row>
    <row r="172" customFormat="false" ht="15.75" hidden="false" customHeight="false" outlineLevel="0" collapsed="false">
      <c r="A172" s="30"/>
      <c r="B172" s="30"/>
      <c r="C172" s="30"/>
      <c r="D172" s="31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</row>
    <row r="173" customFormat="false" ht="15.75" hidden="false" customHeight="false" outlineLevel="0" collapsed="false">
      <c r="A173" s="30"/>
      <c r="B173" s="30"/>
      <c r="C173" s="30"/>
      <c r="D173" s="31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</row>
    <row r="174" customFormat="false" ht="15.75" hidden="false" customHeight="false" outlineLevel="0" collapsed="false">
      <c r="A174" s="30"/>
      <c r="B174" s="30"/>
      <c r="C174" s="30"/>
      <c r="D174" s="31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</row>
    <row r="175" customFormat="false" ht="15.75" hidden="false" customHeight="false" outlineLevel="0" collapsed="false">
      <c r="A175" s="30"/>
      <c r="B175" s="30"/>
      <c r="C175" s="30"/>
      <c r="D175" s="31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</row>
    <row r="176" customFormat="false" ht="15.75" hidden="false" customHeight="false" outlineLevel="0" collapsed="false">
      <c r="A176" s="30"/>
      <c r="B176" s="30"/>
      <c r="C176" s="30"/>
      <c r="D176" s="31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</row>
    <row r="177" customFormat="false" ht="15.75" hidden="false" customHeight="false" outlineLevel="0" collapsed="false">
      <c r="A177" s="30"/>
      <c r="B177" s="30"/>
      <c r="C177" s="30"/>
      <c r="D177" s="31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</row>
    <row r="178" customFormat="false" ht="15.75" hidden="false" customHeight="false" outlineLevel="0" collapsed="false">
      <c r="A178" s="30"/>
      <c r="B178" s="30"/>
      <c r="C178" s="30"/>
      <c r="D178" s="31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</row>
    <row r="179" customFormat="false" ht="15.75" hidden="false" customHeight="false" outlineLevel="0" collapsed="false">
      <c r="A179" s="30"/>
      <c r="B179" s="30"/>
      <c r="C179" s="30"/>
      <c r="D179" s="31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</row>
    <row r="180" customFormat="false" ht="15.75" hidden="false" customHeight="false" outlineLevel="0" collapsed="false">
      <c r="A180" s="30"/>
      <c r="B180" s="30"/>
      <c r="C180" s="30"/>
      <c r="D180" s="31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</row>
    <row r="181" customFormat="false" ht="15.75" hidden="false" customHeight="false" outlineLevel="0" collapsed="false">
      <c r="A181" s="30"/>
      <c r="B181" s="30"/>
      <c r="C181" s="30"/>
      <c r="D181" s="31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</row>
    <row r="182" customFormat="false" ht="15.75" hidden="false" customHeight="false" outlineLevel="0" collapsed="false">
      <c r="A182" s="30"/>
      <c r="B182" s="30"/>
      <c r="C182" s="30"/>
      <c r="D182" s="31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</row>
    <row r="183" customFormat="false" ht="15.75" hidden="false" customHeight="false" outlineLevel="0" collapsed="false">
      <c r="A183" s="30"/>
      <c r="B183" s="30"/>
      <c r="C183" s="30"/>
      <c r="D183" s="31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</row>
    <row r="184" customFormat="false" ht="15.75" hidden="false" customHeight="false" outlineLevel="0" collapsed="false">
      <c r="A184" s="30"/>
      <c r="B184" s="30"/>
      <c r="C184" s="30"/>
      <c r="D184" s="31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</row>
    <row r="185" customFormat="false" ht="15.75" hidden="false" customHeight="false" outlineLevel="0" collapsed="false">
      <c r="A185" s="30"/>
      <c r="B185" s="30"/>
      <c r="C185" s="30"/>
      <c r="D185" s="31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</row>
    <row r="186" customFormat="false" ht="15.75" hidden="false" customHeight="false" outlineLevel="0" collapsed="false">
      <c r="A186" s="30"/>
      <c r="B186" s="30"/>
      <c r="C186" s="30"/>
      <c r="D186" s="31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</row>
    <row r="187" customFormat="false" ht="15.75" hidden="false" customHeight="false" outlineLevel="0" collapsed="false">
      <c r="A187" s="30"/>
      <c r="B187" s="30"/>
      <c r="C187" s="30"/>
      <c r="D187" s="31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</row>
    <row r="188" customFormat="false" ht="15.75" hidden="false" customHeight="false" outlineLevel="0" collapsed="false">
      <c r="A188" s="30"/>
      <c r="B188" s="30"/>
      <c r="C188" s="30"/>
      <c r="D188" s="31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</row>
    <row r="189" customFormat="false" ht="15.75" hidden="false" customHeight="false" outlineLevel="0" collapsed="false">
      <c r="A189" s="30"/>
      <c r="B189" s="30"/>
      <c r="C189" s="30"/>
      <c r="D189" s="31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</row>
    <row r="190" customFormat="false" ht="15.75" hidden="false" customHeight="false" outlineLevel="0" collapsed="false">
      <c r="A190" s="30"/>
      <c r="B190" s="30"/>
      <c r="C190" s="30"/>
      <c r="D190" s="31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</row>
    <row r="191" customFormat="false" ht="15.75" hidden="false" customHeight="false" outlineLevel="0" collapsed="false">
      <c r="A191" s="30"/>
      <c r="B191" s="30"/>
      <c r="C191" s="30"/>
      <c r="D191" s="31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</row>
    <row r="192" customFormat="false" ht="15.75" hidden="false" customHeight="false" outlineLevel="0" collapsed="false">
      <c r="A192" s="30"/>
      <c r="B192" s="30"/>
      <c r="C192" s="30"/>
      <c r="D192" s="31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</row>
    <row r="193" customFormat="false" ht="15.75" hidden="false" customHeight="false" outlineLevel="0" collapsed="false">
      <c r="A193" s="30"/>
      <c r="B193" s="30"/>
      <c r="C193" s="30"/>
      <c r="D193" s="31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</row>
    <row r="194" customFormat="false" ht="15.75" hidden="false" customHeight="false" outlineLevel="0" collapsed="false">
      <c r="A194" s="30"/>
      <c r="B194" s="30"/>
      <c r="C194" s="30"/>
      <c r="D194" s="31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</row>
    <row r="195" customFormat="false" ht="15.75" hidden="false" customHeight="false" outlineLevel="0" collapsed="false">
      <c r="A195" s="30"/>
      <c r="B195" s="30"/>
      <c r="C195" s="30"/>
      <c r="D195" s="31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</row>
    <row r="196" customFormat="false" ht="15.75" hidden="false" customHeight="false" outlineLevel="0" collapsed="false">
      <c r="A196" s="30"/>
      <c r="B196" s="30"/>
      <c r="C196" s="30"/>
      <c r="D196" s="31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</row>
    <row r="197" customFormat="false" ht="15.75" hidden="false" customHeight="false" outlineLevel="0" collapsed="false">
      <c r="A197" s="30"/>
      <c r="B197" s="30"/>
      <c r="C197" s="30"/>
      <c r="D197" s="31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</row>
    <row r="198" customFormat="false" ht="15.75" hidden="false" customHeight="false" outlineLevel="0" collapsed="false">
      <c r="A198" s="30"/>
      <c r="B198" s="30"/>
      <c r="C198" s="30"/>
      <c r="D198" s="31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</row>
    <row r="199" customFormat="false" ht="15.75" hidden="false" customHeight="false" outlineLevel="0" collapsed="false">
      <c r="A199" s="30"/>
      <c r="B199" s="30"/>
      <c r="C199" s="30"/>
      <c r="D199" s="31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</row>
    <row r="200" customFormat="false" ht="15.75" hidden="false" customHeight="false" outlineLevel="0" collapsed="false">
      <c r="A200" s="30"/>
      <c r="B200" s="30"/>
      <c r="C200" s="30"/>
      <c r="D200" s="31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</row>
    <row r="201" customFormat="false" ht="15.75" hidden="false" customHeight="false" outlineLevel="0" collapsed="false">
      <c r="A201" s="30"/>
      <c r="B201" s="30"/>
      <c r="C201" s="30"/>
      <c r="D201" s="31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</row>
    <row r="202" customFormat="false" ht="15.75" hidden="false" customHeight="false" outlineLevel="0" collapsed="false">
      <c r="A202" s="30"/>
      <c r="B202" s="30"/>
      <c r="C202" s="30"/>
      <c r="D202" s="31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</row>
    <row r="203" customFormat="false" ht="15.75" hidden="false" customHeight="false" outlineLevel="0" collapsed="false">
      <c r="A203" s="30"/>
      <c r="B203" s="30"/>
      <c r="C203" s="30"/>
      <c r="D203" s="31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</row>
    <row r="204" customFormat="false" ht="15.75" hidden="false" customHeight="false" outlineLevel="0" collapsed="false">
      <c r="A204" s="30"/>
      <c r="B204" s="30"/>
      <c r="C204" s="30"/>
      <c r="D204" s="31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</row>
    <row r="205" customFormat="false" ht="15.75" hidden="false" customHeight="false" outlineLevel="0" collapsed="false">
      <c r="A205" s="30"/>
      <c r="B205" s="30"/>
      <c r="C205" s="30"/>
      <c r="D205" s="31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</row>
    <row r="206" customFormat="false" ht="15.75" hidden="false" customHeight="false" outlineLevel="0" collapsed="false">
      <c r="A206" s="30"/>
      <c r="B206" s="30"/>
      <c r="C206" s="30"/>
      <c r="D206" s="31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</row>
    <row r="207" customFormat="false" ht="15.75" hidden="false" customHeight="false" outlineLevel="0" collapsed="false">
      <c r="A207" s="30"/>
      <c r="B207" s="30"/>
      <c r="C207" s="30"/>
      <c r="D207" s="31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</row>
    <row r="208" customFormat="false" ht="15.75" hidden="false" customHeight="false" outlineLevel="0" collapsed="false">
      <c r="A208" s="30"/>
      <c r="B208" s="30"/>
      <c r="C208" s="30"/>
      <c r="D208" s="31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</row>
    <row r="209" customFormat="false" ht="15.75" hidden="false" customHeight="false" outlineLevel="0" collapsed="false">
      <c r="A209" s="30"/>
      <c r="B209" s="30"/>
      <c r="C209" s="30"/>
      <c r="D209" s="31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</row>
    <row r="210" customFormat="false" ht="15.75" hidden="false" customHeight="false" outlineLevel="0" collapsed="false">
      <c r="A210" s="30"/>
      <c r="B210" s="30"/>
      <c r="C210" s="30"/>
      <c r="D210" s="31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</row>
    <row r="211" customFormat="false" ht="15.75" hidden="false" customHeight="false" outlineLevel="0" collapsed="false">
      <c r="A211" s="30"/>
      <c r="B211" s="30"/>
      <c r="C211" s="30"/>
      <c r="D211" s="31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</row>
    <row r="212" customFormat="false" ht="15.75" hidden="false" customHeight="false" outlineLevel="0" collapsed="false">
      <c r="A212" s="30"/>
      <c r="B212" s="30"/>
      <c r="C212" s="30"/>
      <c r="D212" s="31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</row>
    <row r="213" customFormat="false" ht="15.75" hidden="false" customHeight="false" outlineLevel="0" collapsed="false">
      <c r="A213" s="30"/>
      <c r="B213" s="30"/>
      <c r="C213" s="30"/>
      <c r="D213" s="31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</row>
    <row r="214" customFormat="false" ht="15.75" hidden="false" customHeight="false" outlineLevel="0" collapsed="false">
      <c r="A214" s="30"/>
      <c r="B214" s="30"/>
      <c r="C214" s="30"/>
      <c r="D214" s="31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</row>
    <row r="215" customFormat="false" ht="15.75" hidden="false" customHeight="false" outlineLevel="0" collapsed="false">
      <c r="A215" s="30"/>
      <c r="B215" s="30"/>
      <c r="C215" s="30"/>
      <c r="D215" s="31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</row>
    <row r="216" customFormat="false" ht="15.75" hidden="false" customHeight="false" outlineLevel="0" collapsed="false">
      <c r="A216" s="30"/>
      <c r="B216" s="30"/>
      <c r="C216" s="30"/>
      <c r="D216" s="31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</row>
    <row r="217" customFormat="false" ht="15.75" hidden="false" customHeight="false" outlineLevel="0" collapsed="false">
      <c r="A217" s="30"/>
      <c r="B217" s="30"/>
      <c r="C217" s="30"/>
      <c r="D217" s="31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</row>
    <row r="218" customFormat="false" ht="15.75" hidden="false" customHeight="false" outlineLevel="0" collapsed="false">
      <c r="A218" s="30"/>
      <c r="B218" s="30"/>
      <c r="C218" s="30"/>
      <c r="D218" s="31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</row>
    <row r="219" customFormat="false" ht="15.75" hidden="false" customHeight="false" outlineLevel="0" collapsed="false">
      <c r="A219" s="30"/>
      <c r="B219" s="30"/>
      <c r="C219" s="30"/>
      <c r="D219" s="31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</row>
    <row r="220" customFormat="false" ht="15.75" hidden="false" customHeight="false" outlineLevel="0" collapsed="false">
      <c r="A220" s="30"/>
      <c r="B220" s="30"/>
      <c r="C220" s="30"/>
      <c r="D220" s="31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</row>
    <row r="221" customFormat="false" ht="15.75" hidden="false" customHeight="false" outlineLevel="0" collapsed="false">
      <c r="A221" s="30"/>
      <c r="B221" s="30"/>
      <c r="C221" s="30"/>
      <c r="D221" s="31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</row>
    <row r="222" customFormat="false" ht="15.75" hidden="false" customHeight="false" outlineLevel="0" collapsed="false">
      <c r="A222" s="30"/>
      <c r="B222" s="30"/>
      <c r="C222" s="30"/>
      <c r="D222" s="31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</row>
    <row r="223" customFormat="false" ht="15.75" hidden="false" customHeight="false" outlineLevel="0" collapsed="false">
      <c r="A223" s="30"/>
      <c r="B223" s="30"/>
      <c r="C223" s="30"/>
      <c r="D223" s="31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</row>
    <row r="224" customFormat="false" ht="15.75" hidden="false" customHeight="false" outlineLevel="0" collapsed="false">
      <c r="A224" s="30"/>
      <c r="B224" s="30"/>
      <c r="C224" s="30"/>
      <c r="D224" s="31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</row>
    <row r="225" customFormat="false" ht="15.75" hidden="false" customHeight="false" outlineLevel="0" collapsed="false">
      <c r="A225" s="30"/>
      <c r="B225" s="30"/>
      <c r="C225" s="30"/>
      <c r="D225" s="31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</row>
    <row r="226" customFormat="false" ht="15.75" hidden="false" customHeight="false" outlineLevel="0" collapsed="false">
      <c r="A226" s="30"/>
      <c r="B226" s="30"/>
      <c r="C226" s="30"/>
      <c r="D226" s="31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</row>
    <row r="227" customFormat="false" ht="15.75" hidden="false" customHeight="false" outlineLevel="0" collapsed="false">
      <c r="A227" s="30"/>
      <c r="B227" s="30"/>
      <c r="C227" s="30"/>
      <c r="D227" s="31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</row>
    <row r="228" customFormat="false" ht="15.75" hidden="false" customHeight="false" outlineLevel="0" collapsed="false">
      <c r="A228" s="30"/>
      <c r="B228" s="30"/>
      <c r="C228" s="30"/>
      <c r="D228" s="31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</row>
    <row r="229" customFormat="false" ht="15.75" hidden="false" customHeight="false" outlineLevel="0" collapsed="false">
      <c r="A229" s="30"/>
      <c r="B229" s="30"/>
      <c r="C229" s="30"/>
      <c r="D229" s="31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</row>
    <row r="230" customFormat="false" ht="15.75" hidden="false" customHeight="false" outlineLevel="0" collapsed="false">
      <c r="A230" s="30"/>
      <c r="B230" s="30"/>
      <c r="C230" s="30"/>
      <c r="D230" s="31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</row>
    <row r="231" customFormat="false" ht="15.75" hidden="false" customHeight="false" outlineLevel="0" collapsed="false">
      <c r="A231" s="30"/>
      <c r="B231" s="30"/>
      <c r="C231" s="30"/>
      <c r="D231" s="31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</row>
    <row r="232" customFormat="false" ht="15.75" hidden="false" customHeight="false" outlineLevel="0" collapsed="false">
      <c r="A232" s="30"/>
      <c r="B232" s="30"/>
      <c r="C232" s="30"/>
      <c r="D232" s="31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</row>
    <row r="233" customFormat="false" ht="15.75" hidden="false" customHeight="false" outlineLevel="0" collapsed="false">
      <c r="A233" s="30"/>
      <c r="B233" s="30"/>
      <c r="C233" s="30"/>
      <c r="D233" s="31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</row>
    <row r="234" customFormat="false" ht="15.75" hidden="false" customHeight="false" outlineLevel="0" collapsed="false">
      <c r="A234" s="30"/>
      <c r="B234" s="30"/>
      <c r="C234" s="30"/>
      <c r="D234" s="31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</row>
    <row r="235" customFormat="false" ht="15.75" hidden="false" customHeight="false" outlineLevel="0" collapsed="false">
      <c r="A235" s="30"/>
      <c r="B235" s="30"/>
      <c r="C235" s="30"/>
      <c r="D235" s="31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</row>
    <row r="236" customFormat="false" ht="15.75" hidden="false" customHeight="false" outlineLevel="0" collapsed="false">
      <c r="A236" s="30"/>
      <c r="B236" s="30"/>
      <c r="C236" s="30"/>
      <c r="D236" s="31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</row>
    <row r="237" customFormat="false" ht="15.75" hidden="false" customHeight="false" outlineLevel="0" collapsed="false">
      <c r="A237" s="30"/>
      <c r="B237" s="30"/>
      <c r="C237" s="30"/>
      <c r="D237" s="31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</row>
    <row r="238" customFormat="false" ht="15.75" hidden="false" customHeight="false" outlineLevel="0" collapsed="false">
      <c r="A238" s="30"/>
      <c r="B238" s="30"/>
      <c r="C238" s="30"/>
      <c r="D238" s="31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</row>
    <row r="239" customFormat="false" ht="15.75" hidden="false" customHeight="false" outlineLevel="0" collapsed="false">
      <c r="A239" s="30"/>
      <c r="B239" s="30"/>
      <c r="C239" s="30"/>
      <c r="D239" s="31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</row>
    <row r="240" customFormat="false" ht="15.75" hidden="false" customHeight="false" outlineLevel="0" collapsed="false">
      <c r="A240" s="30"/>
      <c r="B240" s="30"/>
      <c r="C240" s="30"/>
      <c r="D240" s="31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</row>
    <row r="241" customFormat="false" ht="15.75" hidden="false" customHeight="false" outlineLevel="0" collapsed="false">
      <c r="A241" s="30"/>
      <c r="B241" s="30"/>
      <c r="C241" s="30"/>
      <c r="D241" s="31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</row>
    <row r="242" customFormat="false" ht="15.75" hidden="false" customHeight="false" outlineLevel="0" collapsed="false">
      <c r="A242" s="30"/>
      <c r="B242" s="30"/>
      <c r="C242" s="30"/>
      <c r="D242" s="31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  <c r="AS242" s="30"/>
    </row>
    <row r="243" customFormat="false" ht="15.75" hidden="false" customHeight="false" outlineLevel="0" collapsed="false">
      <c r="A243" s="30"/>
      <c r="B243" s="30"/>
      <c r="C243" s="30"/>
      <c r="D243" s="31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</row>
    <row r="244" customFormat="false" ht="15.75" hidden="false" customHeight="false" outlineLevel="0" collapsed="false">
      <c r="A244" s="30"/>
      <c r="B244" s="30"/>
      <c r="C244" s="30"/>
      <c r="D244" s="31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</row>
    <row r="245" customFormat="false" ht="15.75" hidden="false" customHeight="false" outlineLevel="0" collapsed="false">
      <c r="A245" s="30"/>
      <c r="B245" s="30"/>
      <c r="C245" s="30"/>
      <c r="D245" s="31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</row>
    <row r="246" customFormat="false" ht="15.75" hidden="false" customHeight="false" outlineLevel="0" collapsed="false">
      <c r="A246" s="30"/>
      <c r="B246" s="30"/>
      <c r="C246" s="30"/>
      <c r="D246" s="31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  <c r="AS246" s="30"/>
    </row>
    <row r="247" customFormat="false" ht="15.75" hidden="false" customHeight="false" outlineLevel="0" collapsed="false">
      <c r="A247" s="30"/>
      <c r="B247" s="30"/>
      <c r="C247" s="30"/>
      <c r="D247" s="31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</row>
    <row r="248" customFormat="false" ht="15.75" hidden="false" customHeight="false" outlineLevel="0" collapsed="false">
      <c r="A248" s="30"/>
      <c r="B248" s="30"/>
      <c r="C248" s="30"/>
      <c r="D248" s="31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</row>
    <row r="249" customFormat="false" ht="15.75" hidden="false" customHeight="false" outlineLevel="0" collapsed="false">
      <c r="A249" s="30"/>
      <c r="B249" s="30"/>
      <c r="C249" s="30"/>
      <c r="D249" s="31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</row>
    <row r="250" customFormat="false" ht="15.75" hidden="false" customHeight="false" outlineLevel="0" collapsed="false">
      <c r="A250" s="30"/>
      <c r="B250" s="30"/>
      <c r="C250" s="30"/>
      <c r="D250" s="31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</row>
    <row r="251" customFormat="false" ht="15.75" hidden="false" customHeight="false" outlineLevel="0" collapsed="false">
      <c r="A251" s="30"/>
      <c r="B251" s="30"/>
      <c r="C251" s="30"/>
      <c r="D251" s="31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  <c r="AS251" s="30"/>
    </row>
    <row r="252" customFormat="false" ht="15.75" hidden="false" customHeight="false" outlineLevel="0" collapsed="false">
      <c r="A252" s="30"/>
      <c r="B252" s="30"/>
      <c r="C252" s="30"/>
      <c r="D252" s="31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</row>
    <row r="253" customFormat="false" ht="15.75" hidden="false" customHeight="false" outlineLevel="0" collapsed="false">
      <c r="A253" s="30"/>
      <c r="B253" s="30"/>
      <c r="C253" s="30"/>
      <c r="D253" s="31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  <c r="AR253" s="30"/>
      <c r="AS253" s="30"/>
    </row>
    <row r="254" customFormat="false" ht="15.75" hidden="false" customHeight="false" outlineLevel="0" collapsed="false">
      <c r="A254" s="30"/>
      <c r="B254" s="30"/>
      <c r="C254" s="30"/>
      <c r="D254" s="31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</row>
    <row r="255" customFormat="false" ht="15.75" hidden="false" customHeight="false" outlineLevel="0" collapsed="false">
      <c r="A255" s="30"/>
      <c r="B255" s="30"/>
      <c r="C255" s="30"/>
      <c r="D255" s="31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</row>
    <row r="256" customFormat="false" ht="15.75" hidden="false" customHeight="false" outlineLevel="0" collapsed="false">
      <c r="A256" s="30"/>
      <c r="B256" s="30"/>
      <c r="C256" s="30"/>
      <c r="D256" s="31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  <c r="AS256" s="30"/>
    </row>
    <row r="257" customFormat="false" ht="15.75" hidden="false" customHeight="false" outlineLevel="0" collapsed="false">
      <c r="A257" s="30"/>
      <c r="B257" s="30"/>
      <c r="C257" s="30"/>
      <c r="D257" s="31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  <c r="AN257" s="30"/>
      <c r="AO257" s="30"/>
      <c r="AP257" s="30"/>
      <c r="AQ257" s="30"/>
      <c r="AR257" s="30"/>
      <c r="AS257" s="30"/>
    </row>
    <row r="258" customFormat="false" ht="15.75" hidden="false" customHeight="false" outlineLevel="0" collapsed="false">
      <c r="A258" s="30"/>
      <c r="B258" s="30"/>
      <c r="C258" s="30"/>
      <c r="D258" s="31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</row>
    <row r="259" customFormat="false" ht="15.75" hidden="false" customHeight="false" outlineLevel="0" collapsed="false">
      <c r="A259" s="30"/>
      <c r="B259" s="30"/>
      <c r="C259" s="30"/>
      <c r="D259" s="31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  <c r="AS259" s="30"/>
    </row>
    <row r="260" customFormat="false" ht="15.75" hidden="false" customHeight="false" outlineLevel="0" collapsed="false">
      <c r="A260" s="30"/>
      <c r="B260" s="30"/>
      <c r="C260" s="30"/>
      <c r="D260" s="31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</row>
    <row r="261" customFormat="false" ht="15.75" hidden="false" customHeight="false" outlineLevel="0" collapsed="false">
      <c r="A261" s="30"/>
      <c r="B261" s="30"/>
      <c r="C261" s="30"/>
      <c r="D261" s="31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  <c r="AR261" s="30"/>
      <c r="AS261" s="30"/>
    </row>
    <row r="262" customFormat="false" ht="15.75" hidden="false" customHeight="false" outlineLevel="0" collapsed="false">
      <c r="A262" s="30"/>
      <c r="B262" s="30"/>
      <c r="C262" s="30"/>
      <c r="D262" s="31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</row>
    <row r="263" customFormat="false" ht="15.75" hidden="false" customHeight="false" outlineLevel="0" collapsed="false">
      <c r="A263" s="30"/>
      <c r="B263" s="30"/>
      <c r="C263" s="30"/>
      <c r="D263" s="31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  <c r="AN263" s="30"/>
      <c r="AO263" s="30"/>
      <c r="AP263" s="30"/>
      <c r="AQ263" s="30"/>
      <c r="AR263" s="30"/>
      <c r="AS263" s="30"/>
    </row>
    <row r="264" customFormat="false" ht="15.75" hidden="false" customHeight="false" outlineLevel="0" collapsed="false">
      <c r="A264" s="30"/>
      <c r="B264" s="30"/>
      <c r="C264" s="30"/>
      <c r="D264" s="31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  <c r="AS264" s="30"/>
    </row>
    <row r="265" customFormat="false" ht="15.75" hidden="false" customHeight="false" outlineLevel="0" collapsed="false">
      <c r="A265" s="30"/>
      <c r="B265" s="30"/>
      <c r="C265" s="30"/>
      <c r="D265" s="31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  <c r="AM265" s="30"/>
      <c r="AN265" s="30"/>
      <c r="AO265" s="30"/>
      <c r="AP265" s="30"/>
      <c r="AQ265" s="30"/>
      <c r="AR265" s="30"/>
      <c r="AS265" s="30"/>
    </row>
    <row r="266" customFormat="false" ht="15.75" hidden="false" customHeight="false" outlineLevel="0" collapsed="false">
      <c r="A266" s="30"/>
      <c r="B266" s="30"/>
      <c r="C266" s="30"/>
      <c r="D266" s="31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  <c r="AN266" s="30"/>
      <c r="AO266" s="30"/>
      <c r="AP266" s="30"/>
      <c r="AQ266" s="30"/>
      <c r="AR266" s="30"/>
      <c r="AS266" s="30"/>
    </row>
    <row r="267" customFormat="false" ht="15.75" hidden="false" customHeight="false" outlineLevel="0" collapsed="false">
      <c r="A267" s="30"/>
      <c r="B267" s="30"/>
      <c r="C267" s="30"/>
      <c r="D267" s="31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</row>
    <row r="268" customFormat="false" ht="15.75" hidden="false" customHeight="false" outlineLevel="0" collapsed="false">
      <c r="A268" s="30"/>
      <c r="B268" s="30"/>
      <c r="C268" s="30"/>
      <c r="D268" s="31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</row>
    <row r="269" customFormat="false" ht="15.75" hidden="false" customHeight="false" outlineLevel="0" collapsed="false">
      <c r="A269" s="30"/>
      <c r="B269" s="30"/>
      <c r="C269" s="30"/>
      <c r="D269" s="31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</row>
    <row r="270" customFormat="false" ht="15.75" hidden="false" customHeight="false" outlineLevel="0" collapsed="false">
      <c r="A270" s="30"/>
      <c r="B270" s="30"/>
      <c r="C270" s="30"/>
      <c r="D270" s="31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</row>
    <row r="271" customFormat="false" ht="15.75" hidden="false" customHeight="false" outlineLevel="0" collapsed="false">
      <c r="A271" s="30"/>
      <c r="B271" s="30"/>
      <c r="C271" s="30"/>
      <c r="D271" s="31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</row>
    <row r="272" customFormat="false" ht="15.75" hidden="false" customHeight="false" outlineLevel="0" collapsed="false">
      <c r="A272" s="30"/>
      <c r="B272" s="30"/>
      <c r="C272" s="30"/>
      <c r="D272" s="31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</row>
    <row r="273" customFormat="false" ht="15.75" hidden="false" customHeight="false" outlineLevel="0" collapsed="false">
      <c r="A273" s="30"/>
      <c r="B273" s="30"/>
      <c r="C273" s="30"/>
      <c r="D273" s="31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</row>
    <row r="274" customFormat="false" ht="15.75" hidden="false" customHeight="false" outlineLevel="0" collapsed="false">
      <c r="A274" s="30"/>
      <c r="B274" s="30"/>
      <c r="C274" s="30"/>
      <c r="D274" s="31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</row>
    <row r="275" customFormat="false" ht="15.75" hidden="false" customHeight="false" outlineLevel="0" collapsed="false">
      <c r="A275" s="30"/>
      <c r="B275" s="30"/>
      <c r="C275" s="30"/>
      <c r="D275" s="31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</row>
    <row r="276" customFormat="false" ht="15.75" hidden="false" customHeight="false" outlineLevel="0" collapsed="false">
      <c r="A276" s="30"/>
      <c r="B276" s="30"/>
      <c r="C276" s="30"/>
      <c r="D276" s="31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</row>
    <row r="277" customFormat="false" ht="15.75" hidden="false" customHeight="false" outlineLevel="0" collapsed="false">
      <c r="A277" s="30"/>
      <c r="B277" s="30"/>
      <c r="C277" s="30"/>
      <c r="D277" s="31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</row>
    <row r="278" customFormat="false" ht="15.75" hidden="false" customHeight="false" outlineLevel="0" collapsed="false">
      <c r="A278" s="30"/>
      <c r="B278" s="30"/>
      <c r="C278" s="30"/>
      <c r="D278" s="31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</row>
    <row r="279" customFormat="false" ht="15.75" hidden="false" customHeight="false" outlineLevel="0" collapsed="false">
      <c r="A279" s="30"/>
      <c r="B279" s="30"/>
      <c r="C279" s="30"/>
      <c r="D279" s="31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  <c r="AS279" s="30"/>
    </row>
    <row r="280" customFormat="false" ht="15.75" hidden="false" customHeight="false" outlineLevel="0" collapsed="false">
      <c r="A280" s="30"/>
      <c r="B280" s="30"/>
      <c r="C280" s="30"/>
      <c r="D280" s="31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</row>
    <row r="281" customFormat="false" ht="15.75" hidden="false" customHeight="false" outlineLevel="0" collapsed="false">
      <c r="A281" s="30"/>
      <c r="B281" s="30"/>
      <c r="C281" s="30"/>
      <c r="D281" s="31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  <c r="AS281" s="30"/>
    </row>
    <row r="282" customFormat="false" ht="15.75" hidden="false" customHeight="false" outlineLevel="0" collapsed="false">
      <c r="A282" s="30"/>
      <c r="B282" s="30"/>
      <c r="C282" s="30"/>
      <c r="D282" s="31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  <c r="AS282" s="30"/>
    </row>
    <row r="283" customFormat="false" ht="15.75" hidden="false" customHeight="false" outlineLevel="0" collapsed="false">
      <c r="A283" s="30"/>
      <c r="B283" s="30"/>
      <c r="C283" s="30"/>
      <c r="D283" s="31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</row>
    <row r="284" customFormat="false" ht="15.75" hidden="false" customHeight="false" outlineLevel="0" collapsed="false">
      <c r="A284" s="30"/>
      <c r="B284" s="30"/>
      <c r="C284" s="30"/>
      <c r="D284" s="31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</row>
    <row r="285" customFormat="false" ht="15.75" hidden="false" customHeight="false" outlineLevel="0" collapsed="false">
      <c r="A285" s="30"/>
      <c r="B285" s="30"/>
      <c r="C285" s="30"/>
      <c r="D285" s="31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</row>
    <row r="286" customFormat="false" ht="15.75" hidden="false" customHeight="false" outlineLevel="0" collapsed="false">
      <c r="A286" s="30"/>
      <c r="B286" s="30"/>
      <c r="C286" s="30"/>
      <c r="D286" s="31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</row>
    <row r="287" customFormat="false" ht="15.75" hidden="false" customHeight="false" outlineLevel="0" collapsed="false">
      <c r="A287" s="30"/>
      <c r="B287" s="30"/>
      <c r="C287" s="30"/>
      <c r="D287" s="31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</row>
    <row r="288" customFormat="false" ht="15.75" hidden="false" customHeight="false" outlineLevel="0" collapsed="false">
      <c r="A288" s="30"/>
      <c r="B288" s="30"/>
      <c r="C288" s="30"/>
      <c r="D288" s="31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</row>
    <row r="289" customFormat="false" ht="15.75" hidden="false" customHeight="false" outlineLevel="0" collapsed="false">
      <c r="A289" s="30"/>
      <c r="B289" s="30"/>
      <c r="C289" s="30"/>
      <c r="D289" s="31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</row>
    <row r="290" customFormat="false" ht="15.75" hidden="false" customHeight="false" outlineLevel="0" collapsed="false">
      <c r="A290" s="30"/>
      <c r="B290" s="30"/>
      <c r="C290" s="30"/>
      <c r="D290" s="31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</row>
    <row r="291" customFormat="false" ht="15.75" hidden="false" customHeight="false" outlineLevel="0" collapsed="false">
      <c r="A291" s="30"/>
      <c r="B291" s="30"/>
      <c r="C291" s="30"/>
      <c r="D291" s="31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</row>
    <row r="292" customFormat="false" ht="15.75" hidden="false" customHeight="false" outlineLevel="0" collapsed="false">
      <c r="A292" s="30"/>
      <c r="B292" s="30"/>
      <c r="C292" s="30"/>
      <c r="D292" s="31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</row>
    <row r="293" customFormat="false" ht="15.75" hidden="false" customHeight="false" outlineLevel="0" collapsed="false">
      <c r="A293" s="30"/>
      <c r="B293" s="30"/>
      <c r="C293" s="30"/>
      <c r="D293" s="31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</row>
    <row r="294" customFormat="false" ht="15.75" hidden="false" customHeight="false" outlineLevel="0" collapsed="false">
      <c r="A294" s="30"/>
      <c r="B294" s="30"/>
      <c r="C294" s="30"/>
      <c r="D294" s="31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30"/>
    </row>
    <row r="295" customFormat="false" ht="15.75" hidden="false" customHeight="false" outlineLevel="0" collapsed="false">
      <c r="A295" s="30"/>
      <c r="B295" s="30"/>
      <c r="C295" s="30"/>
      <c r="D295" s="31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</row>
    <row r="296" customFormat="false" ht="15.75" hidden="false" customHeight="false" outlineLevel="0" collapsed="false">
      <c r="A296" s="30"/>
      <c r="B296" s="30"/>
      <c r="C296" s="30"/>
      <c r="D296" s="31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</row>
    <row r="297" customFormat="false" ht="15.75" hidden="false" customHeight="false" outlineLevel="0" collapsed="false">
      <c r="A297" s="30"/>
      <c r="B297" s="30"/>
      <c r="C297" s="30"/>
      <c r="D297" s="31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</row>
    <row r="298" customFormat="false" ht="15.75" hidden="false" customHeight="false" outlineLevel="0" collapsed="false">
      <c r="A298" s="30"/>
      <c r="B298" s="30"/>
      <c r="C298" s="30"/>
      <c r="D298" s="31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</row>
    <row r="299" customFormat="false" ht="15.75" hidden="false" customHeight="false" outlineLevel="0" collapsed="false">
      <c r="A299" s="30"/>
      <c r="B299" s="30"/>
      <c r="C299" s="30"/>
      <c r="D299" s="31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</row>
    <row r="300" customFormat="false" ht="15.75" hidden="false" customHeight="false" outlineLevel="0" collapsed="false">
      <c r="A300" s="30"/>
      <c r="B300" s="30"/>
      <c r="C300" s="30"/>
      <c r="D300" s="31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  <c r="AS300" s="30"/>
    </row>
    <row r="301" customFormat="false" ht="15.75" hidden="false" customHeight="false" outlineLevel="0" collapsed="false">
      <c r="A301" s="30"/>
      <c r="B301" s="30"/>
      <c r="C301" s="30"/>
      <c r="D301" s="31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</row>
    <row r="302" customFormat="false" ht="15.75" hidden="false" customHeight="false" outlineLevel="0" collapsed="false">
      <c r="A302" s="30"/>
      <c r="B302" s="30"/>
      <c r="C302" s="30"/>
      <c r="D302" s="31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  <c r="AS302" s="30"/>
    </row>
    <row r="303" customFormat="false" ht="15.75" hidden="false" customHeight="false" outlineLevel="0" collapsed="false">
      <c r="A303" s="30"/>
      <c r="B303" s="30"/>
      <c r="C303" s="30"/>
      <c r="D303" s="31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  <c r="AS303" s="30"/>
    </row>
    <row r="304" customFormat="false" ht="15.75" hidden="false" customHeight="false" outlineLevel="0" collapsed="false">
      <c r="A304" s="30"/>
      <c r="B304" s="30"/>
      <c r="C304" s="30"/>
      <c r="D304" s="31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/>
    </row>
    <row r="305" customFormat="false" ht="15.75" hidden="false" customHeight="false" outlineLevel="0" collapsed="false">
      <c r="A305" s="30"/>
      <c r="B305" s="30"/>
      <c r="C305" s="30"/>
      <c r="D305" s="31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  <c r="AN305" s="30"/>
      <c r="AO305" s="30"/>
      <c r="AP305" s="30"/>
      <c r="AQ305" s="30"/>
      <c r="AR305" s="30"/>
      <c r="AS305" s="30"/>
    </row>
    <row r="306" customFormat="false" ht="15.75" hidden="false" customHeight="false" outlineLevel="0" collapsed="false">
      <c r="A306" s="30"/>
      <c r="B306" s="30"/>
      <c r="C306" s="30"/>
      <c r="D306" s="31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  <c r="AN306" s="30"/>
      <c r="AO306" s="30"/>
      <c r="AP306" s="30"/>
      <c r="AQ306" s="30"/>
      <c r="AR306" s="30"/>
      <c r="AS306" s="30"/>
    </row>
    <row r="307" customFormat="false" ht="15.75" hidden="false" customHeight="false" outlineLevel="0" collapsed="false">
      <c r="A307" s="30"/>
      <c r="B307" s="30"/>
      <c r="C307" s="30"/>
      <c r="D307" s="31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  <c r="AN307" s="30"/>
      <c r="AO307" s="30"/>
      <c r="AP307" s="30"/>
      <c r="AQ307" s="30"/>
      <c r="AR307" s="30"/>
      <c r="AS307" s="30"/>
    </row>
    <row r="308" customFormat="false" ht="15.75" hidden="false" customHeight="false" outlineLevel="0" collapsed="false">
      <c r="A308" s="30"/>
      <c r="B308" s="30"/>
      <c r="C308" s="30"/>
      <c r="D308" s="31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  <c r="AS308" s="30"/>
    </row>
    <row r="309" customFormat="false" ht="15.75" hidden="false" customHeight="false" outlineLevel="0" collapsed="false">
      <c r="A309" s="30"/>
      <c r="B309" s="30"/>
      <c r="C309" s="30"/>
      <c r="D309" s="31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0"/>
      <c r="AO309" s="30"/>
      <c r="AP309" s="30"/>
      <c r="AQ309" s="30"/>
      <c r="AR309" s="30"/>
      <c r="AS309" s="30"/>
    </row>
    <row r="310" customFormat="false" ht="15.75" hidden="false" customHeight="false" outlineLevel="0" collapsed="false">
      <c r="A310" s="30"/>
      <c r="B310" s="30"/>
      <c r="C310" s="30"/>
      <c r="D310" s="31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</row>
    <row r="311" customFormat="false" ht="15.75" hidden="false" customHeight="false" outlineLevel="0" collapsed="false">
      <c r="A311" s="30"/>
      <c r="B311" s="30"/>
      <c r="C311" s="30"/>
      <c r="D311" s="31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  <c r="AN311" s="30"/>
      <c r="AO311" s="30"/>
      <c r="AP311" s="30"/>
      <c r="AQ311" s="30"/>
      <c r="AR311" s="30"/>
      <c r="AS311" s="30"/>
    </row>
    <row r="312" customFormat="false" ht="15.75" hidden="false" customHeight="false" outlineLevel="0" collapsed="false">
      <c r="A312" s="30"/>
      <c r="B312" s="30"/>
      <c r="C312" s="30"/>
      <c r="D312" s="31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</row>
    <row r="313" customFormat="false" ht="15.75" hidden="false" customHeight="false" outlineLevel="0" collapsed="false">
      <c r="A313" s="30"/>
      <c r="B313" s="30"/>
      <c r="C313" s="30"/>
      <c r="D313" s="31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</row>
    <row r="314" customFormat="false" ht="15.75" hidden="false" customHeight="false" outlineLevel="0" collapsed="false">
      <c r="A314" s="30"/>
      <c r="B314" s="30"/>
      <c r="C314" s="30"/>
      <c r="D314" s="31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</row>
    <row r="315" customFormat="false" ht="15.75" hidden="false" customHeight="false" outlineLevel="0" collapsed="false">
      <c r="A315" s="30"/>
      <c r="B315" s="30"/>
      <c r="C315" s="30"/>
      <c r="D315" s="31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  <c r="AN315" s="30"/>
      <c r="AO315" s="30"/>
      <c r="AP315" s="30"/>
      <c r="AQ315" s="30"/>
      <c r="AR315" s="30"/>
      <c r="AS315" s="30"/>
    </row>
    <row r="316" customFormat="false" ht="15.75" hidden="false" customHeight="false" outlineLevel="0" collapsed="false">
      <c r="A316" s="30"/>
      <c r="B316" s="30"/>
      <c r="C316" s="30"/>
      <c r="D316" s="31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</row>
    <row r="317" customFormat="false" ht="15.75" hidden="false" customHeight="false" outlineLevel="0" collapsed="false">
      <c r="A317" s="30"/>
      <c r="B317" s="30"/>
      <c r="C317" s="30"/>
      <c r="D317" s="31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  <c r="AN317" s="30"/>
      <c r="AO317" s="30"/>
      <c r="AP317" s="30"/>
      <c r="AQ317" s="30"/>
      <c r="AR317" s="30"/>
      <c r="AS317" s="30"/>
    </row>
    <row r="318" customFormat="false" ht="15.75" hidden="false" customHeight="false" outlineLevel="0" collapsed="false">
      <c r="A318" s="30"/>
      <c r="B318" s="30"/>
      <c r="C318" s="30"/>
      <c r="D318" s="31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  <c r="AL318" s="30"/>
      <c r="AM318" s="30"/>
      <c r="AN318" s="30"/>
      <c r="AO318" s="30"/>
      <c r="AP318" s="30"/>
      <c r="AQ318" s="30"/>
      <c r="AR318" s="30"/>
      <c r="AS318" s="30"/>
    </row>
    <row r="319" customFormat="false" ht="15.75" hidden="false" customHeight="false" outlineLevel="0" collapsed="false">
      <c r="A319" s="30"/>
      <c r="B319" s="30"/>
      <c r="C319" s="30"/>
      <c r="D319" s="31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  <c r="AN319" s="30"/>
      <c r="AO319" s="30"/>
      <c r="AP319" s="30"/>
      <c r="AQ319" s="30"/>
      <c r="AR319" s="30"/>
      <c r="AS319" s="30"/>
    </row>
    <row r="320" customFormat="false" ht="15.75" hidden="false" customHeight="false" outlineLevel="0" collapsed="false">
      <c r="A320" s="30"/>
      <c r="B320" s="30"/>
      <c r="C320" s="30"/>
      <c r="D320" s="31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  <c r="AL320" s="30"/>
      <c r="AM320" s="30"/>
      <c r="AN320" s="30"/>
      <c r="AO320" s="30"/>
      <c r="AP320" s="30"/>
      <c r="AQ320" s="30"/>
      <c r="AR320" s="30"/>
      <c r="AS320" s="30"/>
    </row>
    <row r="321" customFormat="false" ht="15.75" hidden="false" customHeight="false" outlineLevel="0" collapsed="false">
      <c r="A321" s="30"/>
      <c r="B321" s="30"/>
      <c r="C321" s="30"/>
      <c r="D321" s="31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/>
      <c r="AN321" s="30"/>
      <c r="AO321" s="30"/>
      <c r="AP321" s="30"/>
      <c r="AQ321" s="30"/>
      <c r="AR321" s="30"/>
      <c r="AS321" s="30"/>
    </row>
    <row r="322" customFormat="false" ht="15.75" hidden="false" customHeight="false" outlineLevel="0" collapsed="false">
      <c r="A322" s="30"/>
      <c r="B322" s="30"/>
      <c r="C322" s="30"/>
      <c r="D322" s="31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  <c r="AS322" s="30"/>
    </row>
    <row r="323" customFormat="false" ht="15.75" hidden="false" customHeight="false" outlineLevel="0" collapsed="false">
      <c r="A323" s="30"/>
      <c r="B323" s="30"/>
      <c r="C323" s="30"/>
      <c r="D323" s="31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  <c r="AL323" s="30"/>
      <c r="AM323" s="30"/>
      <c r="AN323" s="30"/>
      <c r="AO323" s="30"/>
      <c r="AP323" s="30"/>
      <c r="AQ323" s="30"/>
      <c r="AR323" s="30"/>
      <c r="AS323" s="30"/>
    </row>
    <row r="324" customFormat="false" ht="15.75" hidden="false" customHeight="false" outlineLevel="0" collapsed="false">
      <c r="A324" s="30"/>
      <c r="B324" s="30"/>
      <c r="C324" s="30"/>
      <c r="D324" s="31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  <c r="AR324" s="30"/>
      <c r="AS324" s="30"/>
    </row>
    <row r="325" customFormat="false" ht="15.75" hidden="false" customHeight="false" outlineLevel="0" collapsed="false">
      <c r="A325" s="30"/>
      <c r="B325" s="30"/>
      <c r="C325" s="30"/>
      <c r="D325" s="31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  <c r="AN325" s="30"/>
      <c r="AO325" s="30"/>
      <c r="AP325" s="30"/>
      <c r="AQ325" s="30"/>
      <c r="AR325" s="30"/>
      <c r="AS325" s="30"/>
    </row>
    <row r="326" customFormat="false" ht="15.75" hidden="false" customHeight="false" outlineLevel="0" collapsed="false">
      <c r="A326" s="30"/>
      <c r="B326" s="30"/>
      <c r="C326" s="30"/>
      <c r="D326" s="31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</row>
    <row r="327" customFormat="false" ht="15.75" hidden="false" customHeight="false" outlineLevel="0" collapsed="false">
      <c r="A327" s="30"/>
      <c r="B327" s="30"/>
      <c r="C327" s="30"/>
      <c r="D327" s="31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  <c r="AR327" s="30"/>
      <c r="AS327" s="30"/>
    </row>
    <row r="328" customFormat="false" ht="15.75" hidden="false" customHeight="false" outlineLevel="0" collapsed="false">
      <c r="A328" s="30"/>
      <c r="B328" s="30"/>
      <c r="C328" s="30"/>
      <c r="D328" s="31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</row>
    <row r="329" customFormat="false" ht="15.75" hidden="false" customHeight="false" outlineLevel="0" collapsed="false">
      <c r="A329" s="30"/>
      <c r="B329" s="30"/>
      <c r="C329" s="30"/>
      <c r="D329" s="31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  <c r="AN329" s="30"/>
      <c r="AO329" s="30"/>
      <c r="AP329" s="30"/>
      <c r="AQ329" s="30"/>
      <c r="AR329" s="30"/>
      <c r="AS329" s="30"/>
    </row>
    <row r="330" customFormat="false" ht="15.75" hidden="false" customHeight="false" outlineLevel="0" collapsed="false">
      <c r="A330" s="30"/>
      <c r="B330" s="30"/>
      <c r="C330" s="30"/>
      <c r="D330" s="31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  <c r="AN330" s="30"/>
      <c r="AO330" s="30"/>
      <c r="AP330" s="30"/>
      <c r="AQ330" s="30"/>
      <c r="AR330" s="30"/>
      <c r="AS330" s="30"/>
    </row>
    <row r="331" customFormat="false" ht="15.75" hidden="false" customHeight="false" outlineLevel="0" collapsed="false">
      <c r="A331" s="30"/>
      <c r="B331" s="30"/>
      <c r="C331" s="30"/>
      <c r="D331" s="31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  <c r="AR331" s="30"/>
      <c r="AS331" s="30"/>
    </row>
    <row r="332" customFormat="false" ht="15.75" hidden="false" customHeight="false" outlineLevel="0" collapsed="false">
      <c r="A332" s="30"/>
      <c r="B332" s="30"/>
      <c r="C332" s="30"/>
      <c r="D332" s="31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  <c r="AR332" s="30"/>
      <c r="AS332" s="30"/>
    </row>
    <row r="333" customFormat="false" ht="15.75" hidden="false" customHeight="false" outlineLevel="0" collapsed="false">
      <c r="A333" s="30"/>
      <c r="B333" s="30"/>
      <c r="C333" s="30"/>
      <c r="D333" s="31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  <c r="AN333" s="30"/>
      <c r="AO333" s="30"/>
      <c r="AP333" s="30"/>
      <c r="AQ333" s="30"/>
      <c r="AR333" s="30"/>
      <c r="AS333" s="30"/>
    </row>
    <row r="334" customFormat="false" ht="15.75" hidden="false" customHeight="false" outlineLevel="0" collapsed="false">
      <c r="A334" s="30"/>
      <c r="B334" s="30"/>
      <c r="C334" s="30"/>
      <c r="D334" s="31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</row>
    <row r="335" customFormat="false" ht="15.75" hidden="false" customHeight="false" outlineLevel="0" collapsed="false">
      <c r="A335" s="30"/>
      <c r="B335" s="30"/>
      <c r="C335" s="30"/>
      <c r="D335" s="31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</row>
    <row r="336" customFormat="false" ht="15.75" hidden="false" customHeight="false" outlineLevel="0" collapsed="false">
      <c r="A336" s="30"/>
      <c r="B336" s="30"/>
      <c r="C336" s="30"/>
      <c r="D336" s="31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</row>
    <row r="337" customFormat="false" ht="15.75" hidden="false" customHeight="false" outlineLevel="0" collapsed="false">
      <c r="A337" s="30"/>
      <c r="B337" s="30"/>
      <c r="C337" s="30"/>
      <c r="D337" s="31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</row>
    <row r="338" customFormat="false" ht="15.75" hidden="false" customHeight="false" outlineLevel="0" collapsed="false">
      <c r="A338" s="30"/>
      <c r="B338" s="30"/>
      <c r="C338" s="30"/>
      <c r="D338" s="31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</row>
    <row r="339" customFormat="false" ht="15.75" hidden="false" customHeight="false" outlineLevel="0" collapsed="false">
      <c r="A339" s="30"/>
      <c r="B339" s="30"/>
      <c r="C339" s="30"/>
      <c r="D339" s="31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</row>
    <row r="340" customFormat="false" ht="15.75" hidden="false" customHeight="false" outlineLevel="0" collapsed="false">
      <c r="A340" s="30"/>
      <c r="B340" s="30"/>
      <c r="C340" s="30"/>
      <c r="D340" s="31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  <c r="AS340" s="30"/>
    </row>
    <row r="341" customFormat="false" ht="15.75" hidden="false" customHeight="false" outlineLevel="0" collapsed="false">
      <c r="A341" s="30"/>
      <c r="B341" s="30"/>
      <c r="C341" s="30"/>
      <c r="D341" s="31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  <c r="AN341" s="30"/>
      <c r="AO341" s="30"/>
      <c r="AP341" s="30"/>
      <c r="AQ341" s="30"/>
      <c r="AR341" s="30"/>
      <c r="AS341" s="30"/>
    </row>
    <row r="342" customFormat="false" ht="15.75" hidden="false" customHeight="false" outlineLevel="0" collapsed="false">
      <c r="A342" s="30"/>
      <c r="B342" s="30"/>
      <c r="C342" s="30"/>
      <c r="D342" s="31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</row>
    <row r="343" customFormat="false" ht="15.75" hidden="false" customHeight="false" outlineLevel="0" collapsed="false">
      <c r="A343" s="30"/>
      <c r="B343" s="30"/>
      <c r="C343" s="30"/>
      <c r="D343" s="31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</row>
    <row r="344" customFormat="false" ht="15.75" hidden="false" customHeight="false" outlineLevel="0" collapsed="false">
      <c r="A344" s="30"/>
      <c r="B344" s="30"/>
      <c r="C344" s="30"/>
      <c r="D344" s="31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</row>
    <row r="345" customFormat="false" ht="15.75" hidden="false" customHeight="false" outlineLevel="0" collapsed="false">
      <c r="A345" s="30"/>
      <c r="B345" s="30"/>
      <c r="C345" s="30"/>
      <c r="D345" s="31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</row>
    <row r="346" customFormat="false" ht="15.75" hidden="false" customHeight="false" outlineLevel="0" collapsed="false">
      <c r="A346" s="30"/>
      <c r="B346" s="30"/>
      <c r="C346" s="30"/>
      <c r="D346" s="31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</row>
    <row r="347" customFormat="false" ht="15.75" hidden="false" customHeight="false" outlineLevel="0" collapsed="false">
      <c r="A347" s="30"/>
      <c r="B347" s="30"/>
      <c r="C347" s="30"/>
      <c r="D347" s="31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0"/>
      <c r="AR347" s="30"/>
      <c r="AS347" s="30"/>
    </row>
    <row r="348" customFormat="false" ht="15.75" hidden="false" customHeight="false" outlineLevel="0" collapsed="false">
      <c r="A348" s="30"/>
      <c r="B348" s="30"/>
      <c r="C348" s="30"/>
      <c r="D348" s="31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</row>
    <row r="349" customFormat="false" ht="15.75" hidden="false" customHeight="false" outlineLevel="0" collapsed="false">
      <c r="A349" s="30"/>
      <c r="B349" s="30"/>
      <c r="C349" s="30"/>
      <c r="D349" s="31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  <c r="AS349" s="30"/>
    </row>
    <row r="350" customFormat="false" ht="15.75" hidden="false" customHeight="false" outlineLevel="0" collapsed="false">
      <c r="A350" s="30"/>
      <c r="B350" s="30"/>
      <c r="C350" s="30"/>
      <c r="D350" s="31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</row>
    <row r="351" customFormat="false" ht="15.75" hidden="false" customHeight="false" outlineLevel="0" collapsed="false">
      <c r="A351" s="30"/>
      <c r="B351" s="30"/>
      <c r="C351" s="30"/>
      <c r="D351" s="31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</row>
    <row r="352" customFormat="false" ht="15.75" hidden="false" customHeight="false" outlineLevel="0" collapsed="false">
      <c r="A352" s="30"/>
      <c r="B352" s="30"/>
      <c r="C352" s="30"/>
      <c r="D352" s="31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  <c r="AS352" s="30"/>
    </row>
    <row r="353" customFormat="false" ht="15.75" hidden="false" customHeight="false" outlineLevel="0" collapsed="false">
      <c r="A353" s="30"/>
      <c r="B353" s="30"/>
      <c r="C353" s="30"/>
      <c r="D353" s="31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  <c r="AN353" s="30"/>
      <c r="AO353" s="30"/>
      <c r="AP353" s="30"/>
      <c r="AQ353" s="30"/>
      <c r="AR353" s="30"/>
      <c r="AS353" s="30"/>
    </row>
    <row r="354" customFormat="false" ht="15.75" hidden="false" customHeight="false" outlineLevel="0" collapsed="false">
      <c r="A354" s="30"/>
      <c r="B354" s="30"/>
      <c r="C354" s="30"/>
      <c r="D354" s="31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  <c r="AR354" s="30"/>
      <c r="AS354" s="30"/>
    </row>
    <row r="355" customFormat="false" ht="15.75" hidden="false" customHeight="false" outlineLevel="0" collapsed="false">
      <c r="A355" s="30"/>
      <c r="B355" s="30"/>
      <c r="C355" s="30"/>
      <c r="D355" s="31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  <c r="AR355" s="30"/>
      <c r="AS355" s="30"/>
    </row>
    <row r="356" customFormat="false" ht="15.75" hidden="false" customHeight="false" outlineLevel="0" collapsed="false">
      <c r="A356" s="30"/>
      <c r="B356" s="30"/>
      <c r="C356" s="30"/>
      <c r="D356" s="31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  <c r="AN356" s="30"/>
      <c r="AO356" s="30"/>
      <c r="AP356" s="30"/>
      <c r="AQ356" s="30"/>
      <c r="AR356" s="30"/>
      <c r="AS356" s="30"/>
    </row>
    <row r="357" customFormat="false" ht="15.75" hidden="false" customHeight="false" outlineLevel="0" collapsed="false">
      <c r="A357" s="30"/>
      <c r="B357" s="30"/>
      <c r="C357" s="30"/>
      <c r="D357" s="31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  <c r="AN357" s="30"/>
      <c r="AO357" s="30"/>
      <c r="AP357" s="30"/>
      <c r="AQ357" s="30"/>
      <c r="AR357" s="30"/>
      <c r="AS357" s="30"/>
    </row>
    <row r="358" customFormat="false" ht="15.75" hidden="false" customHeight="false" outlineLevel="0" collapsed="false">
      <c r="A358" s="30"/>
      <c r="B358" s="30"/>
      <c r="C358" s="30"/>
      <c r="D358" s="31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</row>
    <row r="359" customFormat="false" ht="15.75" hidden="false" customHeight="false" outlineLevel="0" collapsed="false">
      <c r="A359" s="30"/>
      <c r="B359" s="30"/>
      <c r="C359" s="30"/>
      <c r="D359" s="31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  <c r="AN359" s="30"/>
      <c r="AO359" s="30"/>
      <c r="AP359" s="30"/>
      <c r="AQ359" s="30"/>
      <c r="AR359" s="30"/>
      <c r="AS359" s="30"/>
    </row>
    <row r="360" customFormat="false" ht="15.75" hidden="false" customHeight="false" outlineLevel="0" collapsed="false">
      <c r="A360" s="30"/>
      <c r="B360" s="30"/>
      <c r="C360" s="30"/>
      <c r="D360" s="31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  <c r="AS360" s="30"/>
    </row>
    <row r="361" customFormat="false" ht="15.75" hidden="false" customHeight="false" outlineLevel="0" collapsed="false">
      <c r="A361" s="30"/>
      <c r="B361" s="30"/>
      <c r="C361" s="30"/>
      <c r="D361" s="31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  <c r="AL361" s="30"/>
      <c r="AM361" s="30"/>
      <c r="AN361" s="30"/>
      <c r="AO361" s="30"/>
      <c r="AP361" s="30"/>
      <c r="AQ361" s="30"/>
      <c r="AR361" s="30"/>
      <c r="AS361" s="30"/>
    </row>
    <row r="362" customFormat="false" ht="15.75" hidden="false" customHeight="false" outlineLevel="0" collapsed="false">
      <c r="A362" s="30"/>
      <c r="B362" s="30"/>
      <c r="C362" s="30"/>
      <c r="D362" s="31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  <c r="AN362" s="30"/>
      <c r="AO362" s="30"/>
      <c r="AP362" s="30"/>
      <c r="AQ362" s="30"/>
      <c r="AR362" s="30"/>
      <c r="AS362" s="30"/>
    </row>
    <row r="363" customFormat="false" ht="15.75" hidden="false" customHeight="false" outlineLevel="0" collapsed="false">
      <c r="A363" s="30"/>
      <c r="B363" s="30"/>
      <c r="C363" s="30"/>
      <c r="D363" s="31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  <c r="AN363" s="30"/>
      <c r="AO363" s="30"/>
      <c r="AP363" s="30"/>
      <c r="AQ363" s="30"/>
      <c r="AR363" s="30"/>
      <c r="AS363" s="30"/>
    </row>
    <row r="364" customFormat="false" ht="15.75" hidden="false" customHeight="false" outlineLevel="0" collapsed="false">
      <c r="A364" s="30"/>
      <c r="B364" s="30"/>
      <c r="C364" s="30"/>
      <c r="D364" s="31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  <c r="AR364" s="30"/>
      <c r="AS364" s="30"/>
    </row>
    <row r="365" customFormat="false" ht="15.75" hidden="false" customHeight="false" outlineLevel="0" collapsed="false">
      <c r="A365" s="30"/>
      <c r="B365" s="30"/>
      <c r="C365" s="30"/>
      <c r="D365" s="31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  <c r="AN365" s="30"/>
      <c r="AO365" s="30"/>
      <c r="AP365" s="30"/>
      <c r="AQ365" s="30"/>
      <c r="AR365" s="30"/>
      <c r="AS365" s="30"/>
    </row>
    <row r="366" customFormat="false" ht="15.75" hidden="false" customHeight="false" outlineLevel="0" collapsed="false">
      <c r="A366" s="30"/>
      <c r="B366" s="30"/>
      <c r="C366" s="30"/>
      <c r="D366" s="31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  <c r="AS366" s="30"/>
    </row>
    <row r="367" customFormat="false" ht="15.75" hidden="false" customHeight="false" outlineLevel="0" collapsed="false">
      <c r="A367" s="30"/>
      <c r="B367" s="30"/>
      <c r="C367" s="30"/>
      <c r="D367" s="31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</row>
    <row r="368" customFormat="false" ht="15.75" hidden="false" customHeight="false" outlineLevel="0" collapsed="false">
      <c r="A368" s="30"/>
      <c r="B368" s="30"/>
      <c r="C368" s="30"/>
      <c r="D368" s="31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  <c r="AN368" s="30"/>
      <c r="AO368" s="30"/>
      <c r="AP368" s="30"/>
      <c r="AQ368" s="30"/>
      <c r="AR368" s="30"/>
      <c r="AS368" s="30"/>
    </row>
    <row r="369" customFormat="false" ht="15.75" hidden="false" customHeight="false" outlineLevel="0" collapsed="false">
      <c r="A369" s="30"/>
      <c r="B369" s="30"/>
      <c r="C369" s="30"/>
      <c r="D369" s="31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  <c r="AN369" s="30"/>
      <c r="AO369" s="30"/>
      <c r="AP369" s="30"/>
      <c r="AQ369" s="30"/>
      <c r="AR369" s="30"/>
      <c r="AS369" s="30"/>
    </row>
    <row r="370" customFormat="false" ht="15.75" hidden="false" customHeight="false" outlineLevel="0" collapsed="false">
      <c r="A370" s="30"/>
      <c r="B370" s="30"/>
      <c r="C370" s="30"/>
      <c r="D370" s="31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</row>
    <row r="371" customFormat="false" ht="15.75" hidden="false" customHeight="false" outlineLevel="0" collapsed="false">
      <c r="A371" s="30"/>
      <c r="B371" s="30"/>
      <c r="C371" s="30"/>
      <c r="D371" s="31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  <c r="AR371" s="30"/>
      <c r="AS371" s="30"/>
    </row>
    <row r="372" customFormat="false" ht="15.75" hidden="false" customHeight="false" outlineLevel="0" collapsed="false">
      <c r="A372" s="30"/>
      <c r="B372" s="30"/>
      <c r="C372" s="30"/>
      <c r="D372" s="31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  <c r="AR372" s="30"/>
      <c r="AS372" s="30"/>
    </row>
    <row r="373" customFormat="false" ht="15.75" hidden="false" customHeight="false" outlineLevel="0" collapsed="false">
      <c r="A373" s="30"/>
      <c r="B373" s="30"/>
      <c r="C373" s="30"/>
      <c r="D373" s="31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  <c r="AL373" s="30"/>
      <c r="AM373" s="30"/>
      <c r="AN373" s="30"/>
      <c r="AO373" s="30"/>
      <c r="AP373" s="30"/>
      <c r="AQ373" s="30"/>
      <c r="AR373" s="30"/>
      <c r="AS373" s="30"/>
    </row>
    <row r="374" customFormat="false" ht="15.75" hidden="false" customHeight="false" outlineLevel="0" collapsed="false">
      <c r="A374" s="30"/>
      <c r="B374" s="30"/>
      <c r="C374" s="30"/>
      <c r="D374" s="31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  <c r="AL374" s="30"/>
      <c r="AM374" s="30"/>
      <c r="AN374" s="30"/>
      <c r="AO374" s="30"/>
      <c r="AP374" s="30"/>
      <c r="AQ374" s="30"/>
      <c r="AR374" s="30"/>
      <c r="AS374" s="30"/>
    </row>
    <row r="375" customFormat="false" ht="15.75" hidden="false" customHeight="false" outlineLevel="0" collapsed="false">
      <c r="A375" s="30"/>
      <c r="B375" s="30"/>
      <c r="C375" s="30"/>
      <c r="D375" s="31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</row>
    <row r="376" customFormat="false" ht="15.75" hidden="false" customHeight="false" outlineLevel="0" collapsed="false">
      <c r="A376" s="30"/>
      <c r="B376" s="30"/>
      <c r="C376" s="30"/>
      <c r="D376" s="31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  <c r="AR376" s="30"/>
      <c r="AS376" s="30"/>
    </row>
    <row r="377" customFormat="false" ht="15.75" hidden="false" customHeight="false" outlineLevel="0" collapsed="false">
      <c r="A377" s="30"/>
      <c r="B377" s="30"/>
      <c r="C377" s="30"/>
      <c r="D377" s="31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  <c r="AR377" s="30"/>
      <c r="AS377" s="30"/>
    </row>
    <row r="378" customFormat="false" ht="15.75" hidden="false" customHeight="false" outlineLevel="0" collapsed="false">
      <c r="A378" s="30"/>
      <c r="B378" s="30"/>
      <c r="C378" s="30"/>
      <c r="D378" s="31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</row>
    <row r="379" customFormat="false" ht="15.75" hidden="false" customHeight="false" outlineLevel="0" collapsed="false">
      <c r="A379" s="30"/>
      <c r="B379" s="30"/>
      <c r="C379" s="30"/>
      <c r="D379" s="31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/>
      <c r="AP379" s="30"/>
      <c r="AQ379" s="30"/>
      <c r="AR379" s="30"/>
      <c r="AS379" s="30"/>
    </row>
    <row r="380" customFormat="false" ht="15.75" hidden="false" customHeight="false" outlineLevel="0" collapsed="false">
      <c r="A380" s="30"/>
      <c r="B380" s="30"/>
      <c r="C380" s="30"/>
      <c r="D380" s="31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</row>
    <row r="381" customFormat="false" ht="15.75" hidden="false" customHeight="false" outlineLevel="0" collapsed="false">
      <c r="A381" s="30"/>
      <c r="B381" s="30"/>
      <c r="C381" s="30"/>
      <c r="D381" s="31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/>
      <c r="AP381" s="30"/>
      <c r="AQ381" s="30"/>
      <c r="AR381" s="30"/>
      <c r="AS381" s="30"/>
    </row>
    <row r="382" customFormat="false" ht="15.75" hidden="false" customHeight="false" outlineLevel="0" collapsed="false">
      <c r="A382" s="30"/>
      <c r="B382" s="30"/>
      <c r="C382" s="30"/>
      <c r="D382" s="31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/>
      <c r="AP382" s="30"/>
      <c r="AQ382" s="30"/>
      <c r="AR382" s="30"/>
      <c r="AS382" s="30"/>
    </row>
    <row r="383" customFormat="false" ht="15.75" hidden="false" customHeight="false" outlineLevel="0" collapsed="false">
      <c r="A383" s="30"/>
      <c r="B383" s="30"/>
      <c r="C383" s="30"/>
      <c r="D383" s="31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  <c r="AN383" s="30"/>
      <c r="AO383" s="30"/>
      <c r="AP383" s="30"/>
      <c r="AQ383" s="30"/>
      <c r="AR383" s="30"/>
      <c r="AS383" s="30"/>
    </row>
    <row r="384" customFormat="false" ht="15.75" hidden="false" customHeight="false" outlineLevel="0" collapsed="false">
      <c r="A384" s="30"/>
      <c r="B384" s="30"/>
      <c r="C384" s="30"/>
      <c r="D384" s="31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  <c r="AN384" s="30"/>
      <c r="AO384" s="30"/>
      <c r="AP384" s="30"/>
      <c r="AQ384" s="30"/>
      <c r="AR384" s="30"/>
      <c r="AS384" s="30"/>
    </row>
    <row r="385" customFormat="false" ht="15.75" hidden="false" customHeight="false" outlineLevel="0" collapsed="false">
      <c r="A385" s="30"/>
      <c r="B385" s="30"/>
      <c r="C385" s="30"/>
      <c r="D385" s="31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  <c r="AR385" s="30"/>
      <c r="AS385" s="30"/>
    </row>
    <row r="386" customFormat="false" ht="15.75" hidden="false" customHeight="false" outlineLevel="0" collapsed="false">
      <c r="A386" s="30"/>
      <c r="B386" s="30"/>
      <c r="C386" s="30"/>
      <c r="D386" s="31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  <c r="AN386" s="30"/>
      <c r="AO386" s="30"/>
      <c r="AP386" s="30"/>
      <c r="AQ386" s="30"/>
      <c r="AR386" s="30"/>
      <c r="AS386" s="30"/>
    </row>
    <row r="387" customFormat="false" ht="15.75" hidden="false" customHeight="false" outlineLevel="0" collapsed="false">
      <c r="A387" s="30"/>
      <c r="B387" s="30"/>
      <c r="C387" s="30"/>
      <c r="D387" s="31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  <c r="AN387" s="30"/>
      <c r="AO387" s="30"/>
      <c r="AP387" s="30"/>
      <c r="AQ387" s="30"/>
      <c r="AR387" s="30"/>
      <c r="AS387" s="30"/>
    </row>
    <row r="388" customFormat="false" ht="15.75" hidden="false" customHeight="false" outlineLevel="0" collapsed="false">
      <c r="A388" s="30"/>
      <c r="B388" s="30"/>
      <c r="C388" s="30"/>
      <c r="D388" s="31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  <c r="AN388" s="30"/>
      <c r="AO388" s="30"/>
      <c r="AP388" s="30"/>
      <c r="AQ388" s="30"/>
      <c r="AR388" s="30"/>
      <c r="AS388" s="30"/>
    </row>
    <row r="389" customFormat="false" ht="15.75" hidden="false" customHeight="false" outlineLevel="0" collapsed="false">
      <c r="A389" s="30"/>
      <c r="B389" s="30"/>
      <c r="C389" s="30"/>
      <c r="D389" s="31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  <c r="AN389" s="30"/>
      <c r="AO389" s="30"/>
      <c r="AP389" s="30"/>
      <c r="AQ389" s="30"/>
      <c r="AR389" s="30"/>
      <c r="AS389" s="30"/>
    </row>
    <row r="390" customFormat="false" ht="15.75" hidden="false" customHeight="false" outlineLevel="0" collapsed="false">
      <c r="A390" s="30"/>
      <c r="B390" s="30"/>
      <c r="C390" s="30"/>
      <c r="D390" s="31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  <c r="AN390" s="30"/>
      <c r="AO390" s="30"/>
      <c r="AP390" s="30"/>
      <c r="AQ390" s="30"/>
      <c r="AR390" s="30"/>
      <c r="AS390" s="30"/>
    </row>
    <row r="391" customFormat="false" ht="15.75" hidden="false" customHeight="false" outlineLevel="0" collapsed="false">
      <c r="A391" s="30"/>
      <c r="B391" s="30"/>
      <c r="C391" s="30"/>
      <c r="D391" s="31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/>
      <c r="AP391" s="30"/>
      <c r="AQ391" s="30"/>
      <c r="AR391" s="30"/>
      <c r="AS391" s="30"/>
    </row>
    <row r="392" customFormat="false" ht="15.75" hidden="false" customHeight="false" outlineLevel="0" collapsed="false">
      <c r="A392" s="30"/>
      <c r="B392" s="30"/>
      <c r="C392" s="30"/>
      <c r="D392" s="31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0"/>
      <c r="AR392" s="30"/>
      <c r="AS392" s="30"/>
    </row>
    <row r="393" customFormat="false" ht="15.75" hidden="false" customHeight="false" outlineLevel="0" collapsed="false">
      <c r="A393" s="30"/>
      <c r="B393" s="30"/>
      <c r="C393" s="30"/>
      <c r="D393" s="31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  <c r="AL393" s="30"/>
      <c r="AM393" s="30"/>
      <c r="AN393" s="30"/>
      <c r="AO393" s="30"/>
      <c r="AP393" s="30"/>
      <c r="AQ393" s="30"/>
      <c r="AR393" s="30"/>
      <c r="AS393" s="30"/>
    </row>
    <row r="394" customFormat="false" ht="15.75" hidden="false" customHeight="false" outlineLevel="0" collapsed="false">
      <c r="A394" s="30"/>
      <c r="B394" s="30"/>
      <c r="C394" s="30"/>
      <c r="D394" s="31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  <c r="AN394" s="30"/>
      <c r="AO394" s="30"/>
      <c r="AP394" s="30"/>
      <c r="AQ394" s="30"/>
      <c r="AR394" s="30"/>
      <c r="AS394" s="30"/>
    </row>
    <row r="395" customFormat="false" ht="15.75" hidden="false" customHeight="false" outlineLevel="0" collapsed="false">
      <c r="A395" s="30"/>
      <c r="B395" s="30"/>
      <c r="C395" s="30"/>
      <c r="D395" s="31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  <c r="AL395" s="30"/>
      <c r="AM395" s="30"/>
      <c r="AN395" s="30"/>
      <c r="AO395" s="30"/>
      <c r="AP395" s="30"/>
      <c r="AQ395" s="30"/>
      <c r="AR395" s="30"/>
      <c r="AS395" s="30"/>
    </row>
    <row r="396" customFormat="false" ht="15.75" hidden="false" customHeight="false" outlineLevel="0" collapsed="false">
      <c r="A396" s="30"/>
      <c r="B396" s="30"/>
      <c r="C396" s="30"/>
      <c r="D396" s="31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  <c r="AN396" s="30"/>
      <c r="AO396" s="30"/>
      <c r="AP396" s="30"/>
      <c r="AQ396" s="30"/>
      <c r="AR396" s="30"/>
      <c r="AS396" s="30"/>
    </row>
    <row r="397" customFormat="false" ht="15.75" hidden="false" customHeight="false" outlineLevel="0" collapsed="false">
      <c r="A397" s="30"/>
      <c r="B397" s="30"/>
      <c r="C397" s="30"/>
      <c r="D397" s="31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  <c r="AN397" s="30"/>
      <c r="AO397" s="30"/>
      <c r="AP397" s="30"/>
      <c r="AQ397" s="30"/>
      <c r="AR397" s="30"/>
      <c r="AS397" s="30"/>
    </row>
    <row r="398" customFormat="false" ht="15.75" hidden="false" customHeight="false" outlineLevel="0" collapsed="false">
      <c r="A398" s="30"/>
      <c r="B398" s="30"/>
      <c r="C398" s="30"/>
      <c r="D398" s="31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  <c r="AR398" s="30"/>
      <c r="AS398" s="30"/>
    </row>
    <row r="399" customFormat="false" ht="15.75" hidden="false" customHeight="false" outlineLevel="0" collapsed="false">
      <c r="A399" s="30"/>
      <c r="B399" s="30"/>
      <c r="C399" s="30"/>
      <c r="D399" s="31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  <c r="AN399" s="30"/>
      <c r="AO399" s="30"/>
      <c r="AP399" s="30"/>
      <c r="AQ399" s="30"/>
      <c r="AR399" s="30"/>
      <c r="AS399" s="30"/>
    </row>
    <row r="400" customFormat="false" ht="15.75" hidden="false" customHeight="false" outlineLevel="0" collapsed="false">
      <c r="A400" s="30"/>
      <c r="B400" s="30"/>
      <c r="C400" s="30"/>
      <c r="D400" s="31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  <c r="AR400" s="30"/>
      <c r="AS400" s="30"/>
    </row>
    <row r="401" customFormat="false" ht="15.75" hidden="false" customHeight="false" outlineLevel="0" collapsed="false">
      <c r="A401" s="30"/>
      <c r="B401" s="30"/>
      <c r="C401" s="30"/>
      <c r="D401" s="31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  <c r="AL401" s="30"/>
      <c r="AM401" s="30"/>
      <c r="AN401" s="30"/>
      <c r="AO401" s="30"/>
      <c r="AP401" s="30"/>
      <c r="AQ401" s="30"/>
      <c r="AR401" s="30"/>
      <c r="AS401" s="30"/>
    </row>
    <row r="402" customFormat="false" ht="15.75" hidden="false" customHeight="false" outlineLevel="0" collapsed="false">
      <c r="A402" s="30"/>
      <c r="B402" s="30"/>
      <c r="C402" s="30"/>
      <c r="D402" s="31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  <c r="AL402" s="30"/>
      <c r="AM402" s="30"/>
      <c r="AN402" s="30"/>
      <c r="AO402" s="30"/>
      <c r="AP402" s="30"/>
      <c r="AQ402" s="30"/>
      <c r="AR402" s="30"/>
      <c r="AS402" s="30"/>
    </row>
    <row r="403" customFormat="false" ht="15.75" hidden="false" customHeight="false" outlineLevel="0" collapsed="false">
      <c r="A403" s="30"/>
      <c r="B403" s="30"/>
      <c r="C403" s="30"/>
      <c r="D403" s="31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  <c r="AN403" s="30"/>
      <c r="AO403" s="30"/>
      <c r="AP403" s="30"/>
      <c r="AQ403" s="30"/>
      <c r="AR403" s="30"/>
      <c r="AS403" s="30"/>
    </row>
    <row r="404" customFormat="false" ht="15.75" hidden="false" customHeight="false" outlineLevel="0" collapsed="false">
      <c r="A404" s="30"/>
      <c r="B404" s="30"/>
      <c r="C404" s="30"/>
      <c r="D404" s="31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  <c r="AR404" s="30"/>
      <c r="AS404" s="30"/>
    </row>
    <row r="405" customFormat="false" ht="15.75" hidden="false" customHeight="false" outlineLevel="0" collapsed="false">
      <c r="A405" s="30"/>
      <c r="B405" s="30"/>
      <c r="C405" s="30"/>
      <c r="D405" s="31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  <c r="AN405" s="30"/>
      <c r="AO405" s="30"/>
      <c r="AP405" s="30"/>
      <c r="AQ405" s="30"/>
      <c r="AR405" s="30"/>
      <c r="AS405" s="30"/>
    </row>
    <row r="406" customFormat="false" ht="15.75" hidden="false" customHeight="false" outlineLevel="0" collapsed="false">
      <c r="A406" s="30"/>
      <c r="B406" s="30"/>
      <c r="C406" s="30"/>
      <c r="D406" s="31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  <c r="AN406" s="30"/>
      <c r="AO406" s="30"/>
      <c r="AP406" s="30"/>
      <c r="AQ406" s="30"/>
      <c r="AR406" s="30"/>
      <c r="AS406" s="30"/>
    </row>
    <row r="407" customFormat="false" ht="15.75" hidden="false" customHeight="false" outlineLevel="0" collapsed="false">
      <c r="A407" s="30"/>
      <c r="B407" s="30"/>
      <c r="C407" s="30"/>
      <c r="D407" s="31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  <c r="AL407" s="30"/>
      <c r="AM407" s="30"/>
      <c r="AN407" s="30"/>
      <c r="AO407" s="30"/>
      <c r="AP407" s="30"/>
      <c r="AQ407" s="30"/>
      <c r="AR407" s="30"/>
      <c r="AS407" s="30"/>
    </row>
    <row r="408" customFormat="false" ht="15.75" hidden="false" customHeight="false" outlineLevel="0" collapsed="false">
      <c r="A408" s="30"/>
      <c r="B408" s="30"/>
      <c r="C408" s="30"/>
      <c r="D408" s="31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  <c r="AN408" s="30"/>
      <c r="AO408" s="30"/>
      <c r="AP408" s="30"/>
      <c r="AQ408" s="30"/>
      <c r="AR408" s="30"/>
      <c r="AS408" s="30"/>
    </row>
    <row r="409" customFormat="false" ht="15.75" hidden="false" customHeight="false" outlineLevel="0" collapsed="false">
      <c r="A409" s="30"/>
      <c r="B409" s="30"/>
      <c r="C409" s="30"/>
      <c r="D409" s="31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  <c r="AN409" s="30"/>
      <c r="AO409" s="30"/>
      <c r="AP409" s="30"/>
      <c r="AQ409" s="30"/>
      <c r="AR409" s="30"/>
      <c r="AS409" s="30"/>
    </row>
    <row r="410" customFormat="false" ht="15.75" hidden="false" customHeight="false" outlineLevel="0" collapsed="false">
      <c r="A410" s="30"/>
      <c r="B410" s="30"/>
      <c r="C410" s="30"/>
      <c r="D410" s="31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  <c r="AL410" s="30"/>
      <c r="AM410" s="30"/>
      <c r="AN410" s="30"/>
      <c r="AO410" s="30"/>
      <c r="AP410" s="30"/>
      <c r="AQ410" s="30"/>
      <c r="AR410" s="30"/>
      <c r="AS410" s="30"/>
    </row>
    <row r="411" customFormat="false" ht="15.75" hidden="false" customHeight="false" outlineLevel="0" collapsed="false">
      <c r="A411" s="30"/>
      <c r="B411" s="30"/>
      <c r="C411" s="30"/>
      <c r="D411" s="31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  <c r="AL411" s="30"/>
      <c r="AM411" s="30"/>
      <c r="AN411" s="30"/>
      <c r="AO411" s="30"/>
      <c r="AP411" s="30"/>
      <c r="AQ411" s="30"/>
      <c r="AR411" s="30"/>
      <c r="AS411" s="30"/>
    </row>
    <row r="412" customFormat="false" ht="15.75" hidden="false" customHeight="false" outlineLevel="0" collapsed="false">
      <c r="A412" s="30"/>
      <c r="B412" s="30"/>
      <c r="C412" s="30"/>
      <c r="D412" s="31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  <c r="AN412" s="30"/>
      <c r="AO412" s="30"/>
      <c r="AP412" s="30"/>
      <c r="AQ412" s="30"/>
      <c r="AR412" s="30"/>
      <c r="AS412" s="30"/>
    </row>
    <row r="413" customFormat="false" ht="15.75" hidden="false" customHeight="false" outlineLevel="0" collapsed="false">
      <c r="A413" s="30"/>
      <c r="B413" s="30"/>
      <c r="C413" s="30"/>
      <c r="D413" s="31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  <c r="AL413" s="30"/>
      <c r="AM413" s="30"/>
      <c r="AN413" s="30"/>
      <c r="AO413" s="30"/>
      <c r="AP413" s="30"/>
      <c r="AQ413" s="30"/>
      <c r="AR413" s="30"/>
      <c r="AS413" s="30"/>
    </row>
    <row r="414" customFormat="false" ht="15.75" hidden="false" customHeight="false" outlineLevel="0" collapsed="false">
      <c r="A414" s="30"/>
      <c r="B414" s="30"/>
      <c r="C414" s="30"/>
      <c r="D414" s="31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  <c r="AN414" s="30"/>
      <c r="AO414" s="30"/>
      <c r="AP414" s="30"/>
      <c r="AQ414" s="30"/>
      <c r="AR414" s="30"/>
      <c r="AS414" s="30"/>
    </row>
    <row r="415" customFormat="false" ht="15.75" hidden="false" customHeight="false" outlineLevel="0" collapsed="false">
      <c r="A415" s="30"/>
      <c r="B415" s="30"/>
      <c r="C415" s="30"/>
      <c r="D415" s="31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  <c r="AN415" s="30"/>
      <c r="AO415" s="30"/>
      <c r="AP415" s="30"/>
      <c r="AQ415" s="30"/>
      <c r="AR415" s="30"/>
      <c r="AS415" s="30"/>
    </row>
    <row r="416" customFormat="false" ht="15.75" hidden="false" customHeight="false" outlineLevel="0" collapsed="false">
      <c r="A416" s="30"/>
      <c r="B416" s="30"/>
      <c r="C416" s="30"/>
      <c r="D416" s="31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  <c r="AN416" s="30"/>
      <c r="AO416" s="30"/>
      <c r="AP416" s="30"/>
      <c r="AQ416" s="30"/>
      <c r="AR416" s="30"/>
      <c r="AS416" s="30"/>
    </row>
    <row r="417" customFormat="false" ht="15.75" hidden="false" customHeight="false" outlineLevel="0" collapsed="false">
      <c r="A417" s="30"/>
      <c r="B417" s="30"/>
      <c r="C417" s="30"/>
      <c r="D417" s="31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  <c r="AN417" s="30"/>
      <c r="AO417" s="30"/>
      <c r="AP417" s="30"/>
      <c r="AQ417" s="30"/>
      <c r="AR417" s="30"/>
      <c r="AS417" s="30"/>
    </row>
    <row r="418" customFormat="false" ht="15.75" hidden="false" customHeight="false" outlineLevel="0" collapsed="false">
      <c r="A418" s="30"/>
      <c r="B418" s="30"/>
      <c r="C418" s="30"/>
      <c r="D418" s="31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</row>
    <row r="419" customFormat="false" ht="15.75" hidden="false" customHeight="false" outlineLevel="0" collapsed="false">
      <c r="A419" s="30"/>
      <c r="B419" s="30"/>
      <c r="C419" s="30"/>
      <c r="D419" s="31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  <c r="AN419" s="30"/>
      <c r="AO419" s="30"/>
      <c r="AP419" s="30"/>
      <c r="AQ419" s="30"/>
      <c r="AR419" s="30"/>
      <c r="AS419" s="30"/>
    </row>
    <row r="420" customFormat="false" ht="15.75" hidden="false" customHeight="false" outlineLevel="0" collapsed="false">
      <c r="A420" s="30"/>
      <c r="B420" s="30"/>
      <c r="C420" s="30"/>
      <c r="D420" s="31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  <c r="AR420" s="30"/>
      <c r="AS420" s="30"/>
    </row>
    <row r="421" customFormat="false" ht="15.75" hidden="false" customHeight="false" outlineLevel="0" collapsed="false">
      <c r="A421" s="30"/>
      <c r="B421" s="30"/>
      <c r="C421" s="30"/>
      <c r="D421" s="31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  <c r="AL421" s="30"/>
      <c r="AM421" s="30"/>
      <c r="AN421" s="30"/>
      <c r="AO421" s="30"/>
      <c r="AP421" s="30"/>
      <c r="AQ421" s="30"/>
      <c r="AR421" s="30"/>
      <c r="AS421" s="30"/>
    </row>
    <row r="422" customFormat="false" ht="15.75" hidden="false" customHeight="false" outlineLevel="0" collapsed="false">
      <c r="A422" s="30"/>
      <c r="B422" s="30"/>
      <c r="C422" s="30"/>
      <c r="D422" s="31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  <c r="AL422" s="30"/>
      <c r="AM422" s="30"/>
      <c r="AN422" s="30"/>
      <c r="AO422" s="30"/>
      <c r="AP422" s="30"/>
      <c r="AQ422" s="30"/>
      <c r="AR422" s="30"/>
      <c r="AS422" s="30"/>
    </row>
    <row r="423" customFormat="false" ht="15.75" hidden="false" customHeight="false" outlineLevel="0" collapsed="false">
      <c r="A423" s="30"/>
      <c r="B423" s="30"/>
      <c r="C423" s="30"/>
      <c r="D423" s="31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  <c r="AL423" s="30"/>
      <c r="AM423" s="30"/>
      <c r="AN423" s="30"/>
      <c r="AO423" s="30"/>
      <c r="AP423" s="30"/>
      <c r="AQ423" s="30"/>
      <c r="AR423" s="30"/>
      <c r="AS423" s="30"/>
    </row>
    <row r="424" customFormat="false" ht="15.75" hidden="false" customHeight="false" outlineLevel="0" collapsed="false">
      <c r="A424" s="30"/>
      <c r="B424" s="30"/>
      <c r="C424" s="30"/>
      <c r="D424" s="31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  <c r="AS424" s="30"/>
    </row>
    <row r="425" customFormat="false" ht="15.75" hidden="false" customHeight="false" outlineLevel="0" collapsed="false">
      <c r="A425" s="30"/>
      <c r="B425" s="30"/>
      <c r="C425" s="30"/>
      <c r="D425" s="31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  <c r="AP425" s="30"/>
      <c r="AQ425" s="30"/>
      <c r="AR425" s="30"/>
      <c r="AS425" s="30"/>
    </row>
    <row r="426" customFormat="false" ht="15.75" hidden="false" customHeight="false" outlineLevel="0" collapsed="false">
      <c r="A426" s="30"/>
      <c r="B426" s="30"/>
      <c r="C426" s="30"/>
      <c r="D426" s="31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  <c r="AR426" s="30"/>
      <c r="AS426" s="30"/>
    </row>
    <row r="427" customFormat="false" ht="15.75" hidden="false" customHeight="false" outlineLevel="0" collapsed="false">
      <c r="A427" s="30"/>
      <c r="B427" s="30"/>
      <c r="C427" s="30"/>
      <c r="D427" s="31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/>
      <c r="AR427" s="30"/>
      <c r="AS427" s="30"/>
    </row>
    <row r="428" customFormat="false" ht="15.75" hidden="false" customHeight="false" outlineLevel="0" collapsed="false">
      <c r="A428" s="30"/>
      <c r="B428" s="30"/>
      <c r="C428" s="30"/>
      <c r="D428" s="31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  <c r="AL428" s="30"/>
      <c r="AM428" s="30"/>
      <c r="AN428" s="30"/>
      <c r="AO428" s="30"/>
      <c r="AP428" s="30"/>
      <c r="AQ428" s="30"/>
      <c r="AR428" s="30"/>
      <c r="AS428" s="30"/>
    </row>
    <row r="429" customFormat="false" ht="15.75" hidden="false" customHeight="false" outlineLevel="0" collapsed="false">
      <c r="A429" s="30"/>
      <c r="B429" s="30"/>
      <c r="C429" s="30"/>
      <c r="D429" s="31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  <c r="AL429" s="30"/>
      <c r="AM429" s="30"/>
      <c r="AN429" s="30"/>
      <c r="AO429" s="30"/>
      <c r="AP429" s="30"/>
      <c r="AQ429" s="30"/>
      <c r="AR429" s="30"/>
      <c r="AS429" s="30"/>
    </row>
    <row r="430" customFormat="false" ht="15.75" hidden="false" customHeight="false" outlineLevel="0" collapsed="false">
      <c r="A430" s="30"/>
      <c r="B430" s="30"/>
      <c r="C430" s="30"/>
      <c r="D430" s="31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  <c r="AN430" s="30"/>
      <c r="AO430" s="30"/>
      <c r="AP430" s="30"/>
      <c r="AQ430" s="30"/>
      <c r="AR430" s="30"/>
      <c r="AS430" s="30"/>
    </row>
    <row r="431" customFormat="false" ht="15.75" hidden="false" customHeight="false" outlineLevel="0" collapsed="false">
      <c r="A431" s="30"/>
      <c r="B431" s="30"/>
      <c r="C431" s="30"/>
      <c r="D431" s="31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  <c r="AO431" s="30"/>
      <c r="AP431" s="30"/>
      <c r="AQ431" s="30"/>
      <c r="AR431" s="30"/>
      <c r="AS431" s="30"/>
    </row>
    <row r="432" customFormat="false" ht="15.75" hidden="false" customHeight="false" outlineLevel="0" collapsed="false">
      <c r="A432" s="30"/>
      <c r="B432" s="30"/>
      <c r="C432" s="30"/>
      <c r="D432" s="31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  <c r="AL432" s="30"/>
      <c r="AM432" s="30"/>
      <c r="AN432" s="30"/>
      <c r="AO432" s="30"/>
      <c r="AP432" s="30"/>
      <c r="AQ432" s="30"/>
      <c r="AR432" s="30"/>
      <c r="AS432" s="30"/>
    </row>
    <row r="433" customFormat="false" ht="15.75" hidden="false" customHeight="false" outlineLevel="0" collapsed="false">
      <c r="A433" s="30"/>
      <c r="B433" s="30"/>
      <c r="C433" s="30"/>
      <c r="D433" s="31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/>
      <c r="AR433" s="30"/>
      <c r="AS433" s="30"/>
    </row>
    <row r="434" customFormat="false" ht="15.75" hidden="false" customHeight="false" outlineLevel="0" collapsed="false">
      <c r="A434" s="30"/>
      <c r="B434" s="30"/>
      <c r="C434" s="30"/>
      <c r="D434" s="31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  <c r="AL434" s="30"/>
      <c r="AM434" s="30"/>
      <c r="AN434" s="30"/>
      <c r="AO434" s="30"/>
      <c r="AP434" s="30"/>
      <c r="AQ434" s="30"/>
      <c r="AR434" s="30"/>
      <c r="AS434" s="30"/>
    </row>
    <row r="435" customFormat="false" ht="15.75" hidden="false" customHeight="false" outlineLevel="0" collapsed="false">
      <c r="A435" s="30"/>
      <c r="B435" s="30"/>
      <c r="C435" s="30"/>
      <c r="D435" s="31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  <c r="AL435" s="30"/>
      <c r="AM435" s="30"/>
      <c r="AN435" s="30"/>
      <c r="AO435" s="30"/>
      <c r="AP435" s="30"/>
      <c r="AQ435" s="30"/>
      <c r="AR435" s="30"/>
      <c r="AS435" s="30"/>
    </row>
    <row r="436" customFormat="false" ht="15.75" hidden="false" customHeight="false" outlineLevel="0" collapsed="false">
      <c r="A436" s="30"/>
      <c r="B436" s="30"/>
      <c r="C436" s="30"/>
      <c r="D436" s="31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  <c r="AS436" s="30"/>
    </row>
    <row r="437" customFormat="false" ht="15.75" hidden="false" customHeight="false" outlineLevel="0" collapsed="false">
      <c r="A437" s="30"/>
      <c r="B437" s="30"/>
      <c r="C437" s="30"/>
      <c r="D437" s="31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  <c r="AL437" s="30"/>
      <c r="AM437" s="30"/>
      <c r="AN437" s="30"/>
      <c r="AO437" s="30"/>
      <c r="AP437" s="30"/>
      <c r="AQ437" s="30"/>
      <c r="AR437" s="30"/>
      <c r="AS437" s="30"/>
    </row>
    <row r="438" customFormat="false" ht="15.75" hidden="false" customHeight="false" outlineLevel="0" collapsed="false">
      <c r="A438" s="30"/>
      <c r="B438" s="30"/>
      <c r="C438" s="30"/>
      <c r="D438" s="31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  <c r="AN438" s="30"/>
      <c r="AO438" s="30"/>
      <c r="AP438" s="30"/>
      <c r="AQ438" s="30"/>
      <c r="AR438" s="30"/>
      <c r="AS438" s="30"/>
    </row>
    <row r="439" customFormat="false" ht="15.75" hidden="false" customHeight="false" outlineLevel="0" collapsed="false">
      <c r="A439" s="30"/>
      <c r="B439" s="30"/>
      <c r="C439" s="30"/>
      <c r="D439" s="31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  <c r="AR439" s="30"/>
      <c r="AS439" s="30"/>
    </row>
    <row r="440" customFormat="false" ht="15.75" hidden="false" customHeight="false" outlineLevel="0" collapsed="false">
      <c r="A440" s="30"/>
      <c r="B440" s="30"/>
      <c r="C440" s="30"/>
      <c r="D440" s="31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  <c r="AN440" s="30"/>
      <c r="AO440" s="30"/>
      <c r="AP440" s="30"/>
      <c r="AQ440" s="30"/>
      <c r="AR440" s="30"/>
      <c r="AS440" s="30"/>
    </row>
    <row r="441" customFormat="false" ht="15.75" hidden="false" customHeight="false" outlineLevel="0" collapsed="false">
      <c r="A441" s="30"/>
      <c r="B441" s="30"/>
      <c r="C441" s="30"/>
      <c r="D441" s="31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  <c r="AL441" s="30"/>
      <c r="AM441" s="30"/>
      <c r="AN441" s="30"/>
      <c r="AO441" s="30"/>
      <c r="AP441" s="30"/>
      <c r="AQ441" s="30"/>
      <c r="AR441" s="30"/>
      <c r="AS441" s="30"/>
    </row>
    <row r="442" customFormat="false" ht="15.75" hidden="false" customHeight="false" outlineLevel="0" collapsed="false">
      <c r="A442" s="30"/>
      <c r="B442" s="30"/>
      <c r="C442" s="30"/>
      <c r="D442" s="31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  <c r="AS442" s="30"/>
    </row>
    <row r="443" customFormat="false" ht="15.75" hidden="false" customHeight="false" outlineLevel="0" collapsed="false">
      <c r="A443" s="30"/>
      <c r="B443" s="30"/>
      <c r="C443" s="30"/>
      <c r="D443" s="31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  <c r="AL443" s="30"/>
      <c r="AM443" s="30"/>
      <c r="AN443" s="30"/>
      <c r="AO443" s="30"/>
      <c r="AP443" s="30"/>
      <c r="AQ443" s="30"/>
      <c r="AR443" s="30"/>
      <c r="AS443" s="30"/>
    </row>
    <row r="444" customFormat="false" ht="15.75" hidden="false" customHeight="false" outlineLevel="0" collapsed="false">
      <c r="A444" s="30"/>
      <c r="B444" s="30"/>
      <c r="C444" s="30"/>
      <c r="D444" s="31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0"/>
      <c r="AR444" s="30"/>
      <c r="AS444" s="30"/>
    </row>
    <row r="445" customFormat="false" ht="15.75" hidden="false" customHeight="false" outlineLevel="0" collapsed="false">
      <c r="A445" s="30"/>
      <c r="B445" s="30"/>
      <c r="C445" s="30"/>
      <c r="D445" s="31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  <c r="AL445" s="30"/>
      <c r="AM445" s="30"/>
      <c r="AN445" s="30"/>
      <c r="AO445" s="30"/>
      <c r="AP445" s="30"/>
      <c r="AQ445" s="30"/>
      <c r="AR445" s="30"/>
      <c r="AS445" s="30"/>
    </row>
    <row r="446" customFormat="false" ht="15.75" hidden="false" customHeight="false" outlineLevel="0" collapsed="false">
      <c r="A446" s="30"/>
      <c r="B446" s="30"/>
      <c r="C446" s="30"/>
      <c r="D446" s="31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  <c r="AL446" s="30"/>
      <c r="AM446" s="30"/>
      <c r="AN446" s="30"/>
      <c r="AO446" s="30"/>
      <c r="AP446" s="30"/>
      <c r="AQ446" s="30"/>
      <c r="AR446" s="30"/>
      <c r="AS446" s="30"/>
    </row>
    <row r="447" customFormat="false" ht="15.75" hidden="false" customHeight="false" outlineLevel="0" collapsed="false">
      <c r="A447" s="30"/>
      <c r="B447" s="30"/>
      <c r="C447" s="30"/>
      <c r="D447" s="31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  <c r="AL447" s="30"/>
      <c r="AM447" s="30"/>
      <c r="AN447" s="30"/>
      <c r="AO447" s="30"/>
      <c r="AP447" s="30"/>
      <c r="AQ447" s="30"/>
      <c r="AR447" s="30"/>
      <c r="AS447" s="30"/>
    </row>
    <row r="448" customFormat="false" ht="15.75" hidden="false" customHeight="false" outlineLevel="0" collapsed="false">
      <c r="A448" s="30"/>
      <c r="B448" s="30"/>
      <c r="C448" s="30"/>
      <c r="D448" s="31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  <c r="AN448" s="30"/>
      <c r="AO448" s="30"/>
      <c r="AP448" s="30"/>
      <c r="AQ448" s="30"/>
      <c r="AR448" s="30"/>
      <c r="AS448" s="30"/>
    </row>
    <row r="449" customFormat="false" ht="15.75" hidden="false" customHeight="false" outlineLevel="0" collapsed="false">
      <c r="A449" s="30"/>
      <c r="B449" s="30"/>
      <c r="C449" s="30"/>
      <c r="D449" s="31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  <c r="AL449" s="30"/>
      <c r="AM449" s="30"/>
      <c r="AN449" s="30"/>
      <c r="AO449" s="30"/>
      <c r="AP449" s="30"/>
      <c r="AQ449" s="30"/>
      <c r="AR449" s="30"/>
      <c r="AS449" s="30"/>
    </row>
    <row r="450" customFormat="false" ht="15.75" hidden="false" customHeight="false" outlineLevel="0" collapsed="false">
      <c r="A450" s="30"/>
      <c r="B450" s="30"/>
      <c r="C450" s="30"/>
      <c r="D450" s="31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  <c r="AL450" s="30"/>
      <c r="AM450" s="30"/>
      <c r="AN450" s="30"/>
      <c r="AO450" s="30"/>
      <c r="AP450" s="30"/>
      <c r="AQ450" s="30"/>
      <c r="AR450" s="30"/>
      <c r="AS450" s="30"/>
    </row>
    <row r="451" customFormat="false" ht="15.75" hidden="false" customHeight="false" outlineLevel="0" collapsed="false">
      <c r="A451" s="30"/>
      <c r="B451" s="30"/>
      <c r="C451" s="30"/>
      <c r="D451" s="31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  <c r="AN451" s="30"/>
      <c r="AO451" s="30"/>
      <c r="AP451" s="30"/>
      <c r="AQ451" s="30"/>
      <c r="AR451" s="30"/>
      <c r="AS451" s="30"/>
    </row>
    <row r="452" customFormat="false" ht="15.75" hidden="false" customHeight="false" outlineLevel="0" collapsed="false">
      <c r="A452" s="30"/>
      <c r="B452" s="30"/>
      <c r="C452" s="30"/>
      <c r="D452" s="31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  <c r="AN452" s="30"/>
      <c r="AO452" s="30"/>
      <c r="AP452" s="30"/>
      <c r="AQ452" s="30"/>
      <c r="AR452" s="30"/>
      <c r="AS452" s="30"/>
    </row>
    <row r="453" customFormat="false" ht="15.75" hidden="false" customHeight="false" outlineLevel="0" collapsed="false">
      <c r="A453" s="30"/>
      <c r="B453" s="30"/>
      <c r="C453" s="30"/>
      <c r="D453" s="31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  <c r="AL453" s="30"/>
      <c r="AM453" s="30"/>
      <c r="AN453" s="30"/>
      <c r="AO453" s="30"/>
      <c r="AP453" s="30"/>
      <c r="AQ453" s="30"/>
      <c r="AR453" s="30"/>
      <c r="AS453" s="30"/>
    </row>
    <row r="454" customFormat="false" ht="15.75" hidden="false" customHeight="false" outlineLevel="0" collapsed="false">
      <c r="A454" s="30"/>
      <c r="B454" s="30"/>
      <c r="C454" s="30"/>
      <c r="D454" s="31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  <c r="AN454" s="30"/>
      <c r="AO454" s="30"/>
      <c r="AP454" s="30"/>
      <c r="AQ454" s="30"/>
      <c r="AR454" s="30"/>
      <c r="AS454" s="30"/>
    </row>
    <row r="455" customFormat="false" ht="15.75" hidden="false" customHeight="false" outlineLevel="0" collapsed="false">
      <c r="A455" s="30"/>
      <c r="B455" s="30"/>
      <c r="C455" s="30"/>
      <c r="D455" s="31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  <c r="AN455" s="30"/>
      <c r="AO455" s="30"/>
      <c r="AP455" s="30"/>
      <c r="AQ455" s="30"/>
      <c r="AR455" s="30"/>
      <c r="AS455" s="30"/>
    </row>
    <row r="456" customFormat="false" ht="15.75" hidden="false" customHeight="false" outlineLevel="0" collapsed="false">
      <c r="A456" s="30"/>
      <c r="B456" s="30"/>
      <c r="C456" s="30"/>
      <c r="D456" s="31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30"/>
      <c r="AM456" s="30"/>
      <c r="AN456" s="30"/>
      <c r="AO456" s="30"/>
      <c r="AP456" s="30"/>
      <c r="AQ456" s="30"/>
      <c r="AR456" s="30"/>
      <c r="AS456" s="30"/>
    </row>
    <row r="457" customFormat="false" ht="15.75" hidden="false" customHeight="false" outlineLevel="0" collapsed="false">
      <c r="A457" s="30"/>
      <c r="B457" s="30"/>
      <c r="C457" s="30"/>
      <c r="D457" s="31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  <c r="AL457" s="30"/>
      <c r="AM457" s="30"/>
      <c r="AN457" s="30"/>
      <c r="AO457" s="30"/>
      <c r="AP457" s="30"/>
      <c r="AQ457" s="30"/>
      <c r="AR457" s="30"/>
      <c r="AS457" s="30"/>
    </row>
    <row r="458" customFormat="false" ht="15.75" hidden="false" customHeight="false" outlineLevel="0" collapsed="false">
      <c r="A458" s="30"/>
      <c r="B458" s="30"/>
      <c r="C458" s="30"/>
      <c r="D458" s="31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/>
      <c r="AR458" s="30"/>
      <c r="AS458" s="30"/>
    </row>
    <row r="459" customFormat="false" ht="15.75" hidden="false" customHeight="false" outlineLevel="0" collapsed="false">
      <c r="A459" s="30"/>
      <c r="B459" s="30"/>
      <c r="C459" s="30"/>
      <c r="D459" s="31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  <c r="AL459" s="30"/>
      <c r="AM459" s="30"/>
      <c r="AN459" s="30"/>
      <c r="AO459" s="30"/>
      <c r="AP459" s="30"/>
      <c r="AQ459" s="30"/>
      <c r="AR459" s="30"/>
      <c r="AS459" s="30"/>
    </row>
    <row r="460" customFormat="false" ht="15.75" hidden="false" customHeight="false" outlineLevel="0" collapsed="false">
      <c r="A460" s="30"/>
      <c r="B460" s="30"/>
      <c r="C460" s="30"/>
      <c r="D460" s="31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  <c r="AL460" s="30"/>
      <c r="AM460" s="30"/>
      <c r="AN460" s="30"/>
      <c r="AO460" s="30"/>
      <c r="AP460" s="30"/>
      <c r="AQ460" s="30"/>
      <c r="AR460" s="30"/>
      <c r="AS460" s="30"/>
    </row>
    <row r="461" customFormat="false" ht="15.75" hidden="false" customHeight="false" outlineLevel="0" collapsed="false">
      <c r="A461" s="30"/>
      <c r="B461" s="30"/>
      <c r="C461" s="30"/>
      <c r="D461" s="31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  <c r="AN461" s="30"/>
      <c r="AO461" s="30"/>
      <c r="AP461" s="30"/>
      <c r="AQ461" s="30"/>
      <c r="AR461" s="30"/>
      <c r="AS461" s="30"/>
    </row>
    <row r="462" customFormat="false" ht="15.75" hidden="false" customHeight="false" outlineLevel="0" collapsed="false">
      <c r="A462" s="30"/>
      <c r="B462" s="30"/>
      <c r="C462" s="30"/>
      <c r="D462" s="31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  <c r="AL462" s="30"/>
      <c r="AM462" s="30"/>
      <c r="AN462" s="30"/>
      <c r="AO462" s="30"/>
      <c r="AP462" s="30"/>
      <c r="AQ462" s="30"/>
      <c r="AR462" s="30"/>
      <c r="AS462" s="30"/>
    </row>
    <row r="463" customFormat="false" ht="15.75" hidden="false" customHeight="false" outlineLevel="0" collapsed="false">
      <c r="A463" s="30"/>
      <c r="B463" s="30"/>
      <c r="C463" s="30"/>
      <c r="D463" s="31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  <c r="AL463" s="30"/>
      <c r="AM463" s="30"/>
      <c r="AN463" s="30"/>
      <c r="AO463" s="30"/>
      <c r="AP463" s="30"/>
      <c r="AQ463" s="30"/>
      <c r="AR463" s="30"/>
      <c r="AS463" s="30"/>
    </row>
    <row r="464" customFormat="false" ht="15.75" hidden="false" customHeight="false" outlineLevel="0" collapsed="false">
      <c r="A464" s="30"/>
      <c r="B464" s="30"/>
      <c r="C464" s="30"/>
      <c r="D464" s="31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0"/>
      <c r="AR464" s="30"/>
      <c r="AS464" s="30"/>
    </row>
    <row r="465" customFormat="false" ht="15.75" hidden="false" customHeight="false" outlineLevel="0" collapsed="false">
      <c r="A465" s="30"/>
      <c r="B465" s="30"/>
      <c r="C465" s="30"/>
      <c r="D465" s="31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  <c r="AN465" s="30"/>
      <c r="AO465" s="30"/>
      <c r="AP465" s="30"/>
      <c r="AQ465" s="30"/>
      <c r="AR465" s="30"/>
      <c r="AS465" s="30"/>
    </row>
    <row r="466" customFormat="false" ht="15.75" hidden="false" customHeight="false" outlineLevel="0" collapsed="false">
      <c r="A466" s="30"/>
      <c r="B466" s="30"/>
      <c r="C466" s="30"/>
      <c r="D466" s="31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0"/>
      <c r="AS466" s="30"/>
    </row>
    <row r="467" customFormat="false" ht="15.75" hidden="false" customHeight="false" outlineLevel="0" collapsed="false">
      <c r="A467" s="30"/>
      <c r="B467" s="30"/>
      <c r="C467" s="30"/>
      <c r="D467" s="31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  <c r="AL467" s="30"/>
      <c r="AM467" s="30"/>
      <c r="AN467" s="30"/>
      <c r="AO467" s="30"/>
      <c r="AP467" s="30"/>
      <c r="AQ467" s="30"/>
      <c r="AR467" s="30"/>
      <c r="AS467" s="30"/>
    </row>
    <row r="468" customFormat="false" ht="15.75" hidden="false" customHeight="false" outlineLevel="0" collapsed="false">
      <c r="A468" s="30"/>
      <c r="B468" s="30"/>
      <c r="C468" s="30"/>
      <c r="D468" s="31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  <c r="AL468" s="30"/>
      <c r="AM468" s="30"/>
      <c r="AN468" s="30"/>
      <c r="AO468" s="30"/>
      <c r="AP468" s="30"/>
      <c r="AQ468" s="30"/>
      <c r="AR468" s="30"/>
      <c r="AS468" s="30"/>
    </row>
    <row r="469" customFormat="false" ht="15.75" hidden="false" customHeight="false" outlineLevel="0" collapsed="false">
      <c r="A469" s="30"/>
      <c r="B469" s="30"/>
      <c r="C469" s="30"/>
      <c r="D469" s="31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  <c r="AL469" s="30"/>
      <c r="AM469" s="30"/>
      <c r="AN469" s="30"/>
      <c r="AO469" s="30"/>
      <c r="AP469" s="30"/>
      <c r="AQ469" s="30"/>
      <c r="AR469" s="30"/>
      <c r="AS469" s="30"/>
    </row>
    <row r="470" customFormat="false" ht="15.75" hidden="false" customHeight="false" outlineLevel="0" collapsed="false">
      <c r="A470" s="30"/>
      <c r="B470" s="30"/>
      <c r="C470" s="30"/>
      <c r="D470" s="31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  <c r="AN470" s="30"/>
      <c r="AO470" s="30"/>
      <c r="AP470" s="30"/>
      <c r="AQ470" s="30"/>
      <c r="AR470" s="30"/>
      <c r="AS470" s="30"/>
    </row>
    <row r="471" customFormat="false" ht="15.75" hidden="false" customHeight="false" outlineLevel="0" collapsed="false">
      <c r="A471" s="30"/>
      <c r="B471" s="30"/>
      <c r="C471" s="30"/>
      <c r="D471" s="31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  <c r="AL471" s="30"/>
      <c r="AM471" s="30"/>
      <c r="AN471" s="30"/>
      <c r="AO471" s="30"/>
      <c r="AP471" s="30"/>
      <c r="AQ471" s="30"/>
      <c r="AR471" s="30"/>
      <c r="AS471" s="30"/>
    </row>
    <row r="472" customFormat="false" ht="15.75" hidden="false" customHeight="false" outlineLevel="0" collapsed="false">
      <c r="A472" s="30"/>
      <c r="B472" s="30"/>
      <c r="C472" s="30"/>
      <c r="D472" s="31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0"/>
      <c r="AR472" s="30"/>
      <c r="AS472" s="30"/>
    </row>
    <row r="473" customFormat="false" ht="15.75" hidden="false" customHeight="false" outlineLevel="0" collapsed="false">
      <c r="A473" s="30"/>
      <c r="B473" s="30"/>
      <c r="C473" s="30"/>
      <c r="D473" s="31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  <c r="AN473" s="30"/>
      <c r="AO473" s="30"/>
      <c r="AP473" s="30"/>
      <c r="AQ473" s="30"/>
      <c r="AR473" s="30"/>
      <c r="AS473" s="30"/>
    </row>
    <row r="474" customFormat="false" ht="15.75" hidden="false" customHeight="false" outlineLevel="0" collapsed="false">
      <c r="A474" s="30"/>
      <c r="B474" s="30"/>
      <c r="C474" s="30"/>
      <c r="D474" s="31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30"/>
      <c r="AP474" s="30"/>
      <c r="AQ474" s="30"/>
      <c r="AR474" s="30"/>
      <c r="AS474" s="30"/>
    </row>
    <row r="475" customFormat="false" ht="15.75" hidden="false" customHeight="false" outlineLevel="0" collapsed="false">
      <c r="A475" s="30"/>
      <c r="B475" s="30"/>
      <c r="C475" s="30"/>
      <c r="D475" s="31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30"/>
      <c r="AM475" s="30"/>
      <c r="AN475" s="30"/>
      <c r="AO475" s="30"/>
      <c r="AP475" s="30"/>
      <c r="AQ475" s="30"/>
      <c r="AR475" s="30"/>
      <c r="AS475" s="30"/>
    </row>
    <row r="476" customFormat="false" ht="15.75" hidden="false" customHeight="false" outlineLevel="0" collapsed="false">
      <c r="A476" s="30"/>
      <c r="B476" s="30"/>
      <c r="C476" s="30"/>
      <c r="D476" s="31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  <c r="AN476" s="30"/>
      <c r="AO476" s="30"/>
      <c r="AP476" s="30"/>
      <c r="AQ476" s="30"/>
      <c r="AR476" s="30"/>
      <c r="AS476" s="30"/>
    </row>
    <row r="477" customFormat="false" ht="15.75" hidden="false" customHeight="false" outlineLevel="0" collapsed="false">
      <c r="A477" s="30"/>
      <c r="B477" s="30"/>
      <c r="C477" s="30"/>
      <c r="D477" s="31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  <c r="AL477" s="30"/>
      <c r="AM477" s="30"/>
      <c r="AN477" s="30"/>
      <c r="AO477" s="30"/>
      <c r="AP477" s="30"/>
      <c r="AQ477" s="30"/>
      <c r="AR477" s="30"/>
      <c r="AS477" s="30"/>
    </row>
    <row r="478" customFormat="false" ht="15.75" hidden="false" customHeight="false" outlineLevel="0" collapsed="false">
      <c r="A478" s="30"/>
      <c r="B478" s="30"/>
      <c r="C478" s="30"/>
      <c r="D478" s="31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0"/>
      <c r="AS478" s="30"/>
    </row>
    <row r="479" customFormat="false" ht="15.75" hidden="false" customHeight="false" outlineLevel="0" collapsed="false">
      <c r="A479" s="30"/>
      <c r="B479" s="30"/>
      <c r="C479" s="30"/>
      <c r="D479" s="31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  <c r="AL479" s="30"/>
      <c r="AM479" s="30"/>
      <c r="AN479" s="30"/>
      <c r="AO479" s="30"/>
      <c r="AP479" s="30"/>
      <c r="AQ479" s="30"/>
      <c r="AR479" s="30"/>
      <c r="AS479" s="30"/>
    </row>
    <row r="480" customFormat="false" ht="15.75" hidden="false" customHeight="false" outlineLevel="0" collapsed="false">
      <c r="A480" s="30"/>
      <c r="B480" s="30"/>
      <c r="C480" s="30"/>
      <c r="D480" s="31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  <c r="AL480" s="30"/>
      <c r="AM480" s="30"/>
      <c r="AN480" s="30"/>
      <c r="AO480" s="30"/>
      <c r="AP480" s="30"/>
      <c r="AQ480" s="30"/>
      <c r="AR480" s="30"/>
      <c r="AS480" s="30"/>
    </row>
    <row r="481" customFormat="false" ht="15.75" hidden="false" customHeight="false" outlineLevel="0" collapsed="false">
      <c r="A481" s="30"/>
      <c r="B481" s="30"/>
      <c r="C481" s="30"/>
      <c r="D481" s="31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  <c r="AR481" s="30"/>
      <c r="AS481" s="30"/>
    </row>
    <row r="482" customFormat="false" ht="15.75" hidden="false" customHeight="false" outlineLevel="0" collapsed="false">
      <c r="A482" s="30"/>
      <c r="B482" s="30"/>
      <c r="C482" s="30"/>
      <c r="D482" s="31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  <c r="AL482" s="30"/>
      <c r="AM482" s="30"/>
      <c r="AN482" s="30"/>
      <c r="AO482" s="30"/>
      <c r="AP482" s="30"/>
      <c r="AQ482" s="30"/>
      <c r="AR482" s="30"/>
      <c r="AS482" s="30"/>
    </row>
    <row r="483" customFormat="false" ht="15.75" hidden="false" customHeight="false" outlineLevel="0" collapsed="false">
      <c r="A483" s="30"/>
      <c r="B483" s="30"/>
      <c r="C483" s="30"/>
      <c r="D483" s="31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  <c r="AL483" s="30"/>
      <c r="AM483" s="30"/>
      <c r="AN483" s="30"/>
      <c r="AO483" s="30"/>
      <c r="AP483" s="30"/>
      <c r="AQ483" s="30"/>
      <c r="AR483" s="30"/>
      <c r="AS483" s="30"/>
    </row>
    <row r="484" customFormat="false" ht="15.75" hidden="false" customHeight="false" outlineLevel="0" collapsed="false">
      <c r="A484" s="30"/>
      <c r="B484" s="30"/>
      <c r="C484" s="30"/>
      <c r="D484" s="31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0"/>
      <c r="AS484" s="30"/>
    </row>
    <row r="485" customFormat="false" ht="15.75" hidden="false" customHeight="false" outlineLevel="0" collapsed="false">
      <c r="A485" s="30"/>
      <c r="B485" s="30"/>
      <c r="C485" s="30"/>
      <c r="D485" s="31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  <c r="AL485" s="30"/>
      <c r="AM485" s="30"/>
      <c r="AN485" s="30"/>
      <c r="AO485" s="30"/>
      <c r="AP485" s="30"/>
      <c r="AQ485" s="30"/>
      <c r="AR485" s="30"/>
      <c r="AS485" s="30"/>
    </row>
    <row r="486" customFormat="false" ht="15.75" hidden="false" customHeight="false" outlineLevel="0" collapsed="false">
      <c r="A486" s="30"/>
      <c r="B486" s="30"/>
      <c r="C486" s="30"/>
      <c r="D486" s="31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  <c r="AL486" s="30"/>
      <c r="AM486" s="30"/>
      <c r="AN486" s="30"/>
      <c r="AO486" s="30"/>
      <c r="AP486" s="30"/>
      <c r="AQ486" s="30"/>
      <c r="AR486" s="30"/>
      <c r="AS486" s="30"/>
    </row>
    <row r="487" customFormat="false" ht="15.75" hidden="false" customHeight="false" outlineLevel="0" collapsed="false">
      <c r="A487" s="30"/>
      <c r="B487" s="30"/>
      <c r="C487" s="30"/>
      <c r="D487" s="31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  <c r="AN487" s="30"/>
      <c r="AO487" s="30"/>
      <c r="AP487" s="30"/>
      <c r="AQ487" s="30"/>
      <c r="AR487" s="30"/>
      <c r="AS487" s="30"/>
    </row>
    <row r="488" customFormat="false" ht="15.75" hidden="false" customHeight="false" outlineLevel="0" collapsed="false">
      <c r="A488" s="30"/>
      <c r="B488" s="30"/>
      <c r="C488" s="30"/>
      <c r="D488" s="31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  <c r="AL488" s="30"/>
      <c r="AM488" s="30"/>
      <c r="AN488" s="30"/>
      <c r="AO488" s="30"/>
      <c r="AP488" s="30"/>
      <c r="AQ488" s="30"/>
      <c r="AR488" s="30"/>
      <c r="AS488" s="30"/>
    </row>
    <row r="489" customFormat="false" ht="15.75" hidden="false" customHeight="false" outlineLevel="0" collapsed="false">
      <c r="A489" s="30"/>
      <c r="B489" s="30"/>
      <c r="C489" s="30"/>
      <c r="D489" s="31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  <c r="AL489" s="30"/>
      <c r="AM489" s="30"/>
      <c r="AN489" s="30"/>
      <c r="AO489" s="30"/>
      <c r="AP489" s="30"/>
      <c r="AQ489" s="30"/>
      <c r="AR489" s="30"/>
      <c r="AS489" s="30"/>
    </row>
    <row r="490" customFormat="false" ht="15.75" hidden="false" customHeight="false" outlineLevel="0" collapsed="false">
      <c r="A490" s="30"/>
      <c r="B490" s="30"/>
      <c r="C490" s="30"/>
      <c r="D490" s="31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  <c r="AN490" s="30"/>
      <c r="AO490" s="30"/>
      <c r="AP490" s="30"/>
      <c r="AQ490" s="30"/>
      <c r="AR490" s="30"/>
      <c r="AS490" s="30"/>
    </row>
    <row r="491" customFormat="false" ht="15.75" hidden="false" customHeight="false" outlineLevel="0" collapsed="false">
      <c r="A491" s="30"/>
      <c r="B491" s="30"/>
      <c r="C491" s="30"/>
      <c r="D491" s="31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  <c r="AL491" s="30"/>
      <c r="AM491" s="30"/>
      <c r="AN491" s="30"/>
      <c r="AO491" s="30"/>
      <c r="AP491" s="30"/>
      <c r="AQ491" s="30"/>
      <c r="AR491" s="30"/>
      <c r="AS491" s="30"/>
    </row>
    <row r="492" customFormat="false" ht="15.75" hidden="false" customHeight="false" outlineLevel="0" collapsed="false">
      <c r="A492" s="30"/>
      <c r="B492" s="30"/>
      <c r="C492" s="30"/>
      <c r="D492" s="31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0"/>
      <c r="AS492" s="30"/>
    </row>
    <row r="493" customFormat="false" ht="15.75" hidden="false" customHeight="false" outlineLevel="0" collapsed="false">
      <c r="A493" s="30"/>
      <c r="B493" s="30"/>
      <c r="C493" s="30"/>
      <c r="D493" s="31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  <c r="AR493" s="30"/>
      <c r="AS493" s="30"/>
    </row>
    <row r="494" customFormat="false" ht="15.75" hidden="false" customHeight="false" outlineLevel="0" collapsed="false">
      <c r="A494" s="30"/>
      <c r="B494" s="30"/>
      <c r="C494" s="30"/>
      <c r="D494" s="31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  <c r="AR494" s="30"/>
      <c r="AS494" s="30"/>
    </row>
    <row r="495" customFormat="false" ht="15.75" hidden="false" customHeight="false" outlineLevel="0" collapsed="false">
      <c r="A495" s="30"/>
      <c r="B495" s="30"/>
      <c r="C495" s="30"/>
      <c r="D495" s="31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  <c r="AL495" s="30"/>
      <c r="AM495" s="30"/>
      <c r="AN495" s="30"/>
      <c r="AO495" s="30"/>
      <c r="AP495" s="30"/>
      <c r="AQ495" s="30"/>
      <c r="AR495" s="30"/>
      <c r="AS495" s="30"/>
    </row>
    <row r="496" customFormat="false" ht="15.75" hidden="false" customHeight="false" outlineLevel="0" collapsed="false">
      <c r="A496" s="30"/>
      <c r="B496" s="30"/>
      <c r="C496" s="30"/>
      <c r="D496" s="31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0"/>
      <c r="AR496" s="30"/>
      <c r="AS496" s="30"/>
    </row>
    <row r="497" customFormat="false" ht="15.75" hidden="false" customHeight="false" outlineLevel="0" collapsed="false">
      <c r="A497" s="30"/>
      <c r="B497" s="30"/>
      <c r="C497" s="30"/>
      <c r="D497" s="31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  <c r="AL497" s="30"/>
      <c r="AM497" s="30"/>
      <c r="AN497" s="30"/>
      <c r="AO497" s="30"/>
      <c r="AP497" s="30"/>
      <c r="AQ497" s="30"/>
      <c r="AR497" s="30"/>
      <c r="AS497" s="30"/>
    </row>
    <row r="498" customFormat="false" ht="15.75" hidden="false" customHeight="false" outlineLevel="0" collapsed="false">
      <c r="A498" s="30"/>
      <c r="B498" s="30"/>
      <c r="C498" s="30"/>
      <c r="D498" s="31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  <c r="AR498" s="30"/>
      <c r="AS498" s="30"/>
    </row>
    <row r="499" customFormat="false" ht="15.75" hidden="false" customHeight="false" outlineLevel="0" collapsed="false">
      <c r="A499" s="30"/>
      <c r="B499" s="30"/>
      <c r="C499" s="30"/>
      <c r="D499" s="31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  <c r="AR499" s="30"/>
      <c r="AS499" s="30"/>
    </row>
    <row r="500" customFormat="false" ht="15.75" hidden="false" customHeight="false" outlineLevel="0" collapsed="false">
      <c r="A500" s="30"/>
      <c r="B500" s="30"/>
      <c r="C500" s="30"/>
      <c r="D500" s="31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  <c r="AN500" s="30"/>
      <c r="AO500" s="30"/>
      <c r="AP500" s="30"/>
      <c r="AQ500" s="30"/>
      <c r="AR500" s="30"/>
      <c r="AS500" s="30"/>
    </row>
    <row r="501" customFormat="false" ht="15.75" hidden="false" customHeight="false" outlineLevel="0" collapsed="false">
      <c r="A501" s="30"/>
      <c r="B501" s="30"/>
      <c r="C501" s="30"/>
      <c r="D501" s="31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  <c r="AL501" s="30"/>
      <c r="AM501" s="30"/>
      <c r="AN501" s="30"/>
      <c r="AO501" s="30"/>
      <c r="AP501" s="30"/>
      <c r="AQ501" s="30"/>
      <c r="AR501" s="30"/>
      <c r="AS501" s="30"/>
    </row>
    <row r="502" customFormat="false" ht="15.75" hidden="false" customHeight="false" outlineLevel="0" collapsed="false">
      <c r="A502" s="30"/>
      <c r="B502" s="30"/>
      <c r="C502" s="30"/>
      <c r="D502" s="31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  <c r="AL502" s="30"/>
      <c r="AM502" s="30"/>
      <c r="AN502" s="30"/>
      <c r="AO502" s="30"/>
      <c r="AP502" s="30"/>
      <c r="AQ502" s="30"/>
      <c r="AR502" s="30"/>
      <c r="AS502" s="30"/>
    </row>
    <row r="503" customFormat="false" ht="15.75" hidden="false" customHeight="false" outlineLevel="0" collapsed="false">
      <c r="A503" s="30"/>
      <c r="B503" s="30"/>
      <c r="C503" s="30"/>
      <c r="D503" s="31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  <c r="AL503" s="30"/>
      <c r="AM503" s="30"/>
      <c r="AN503" s="30"/>
      <c r="AO503" s="30"/>
      <c r="AP503" s="30"/>
      <c r="AQ503" s="30"/>
      <c r="AR503" s="30"/>
      <c r="AS503" s="30"/>
    </row>
    <row r="504" customFormat="false" ht="15.75" hidden="false" customHeight="false" outlineLevel="0" collapsed="false">
      <c r="A504" s="30"/>
      <c r="B504" s="30"/>
      <c r="C504" s="30"/>
      <c r="D504" s="31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  <c r="AL504" s="30"/>
      <c r="AM504" s="30"/>
      <c r="AN504" s="30"/>
      <c r="AO504" s="30"/>
      <c r="AP504" s="30"/>
      <c r="AQ504" s="30"/>
      <c r="AR504" s="30"/>
      <c r="AS504" s="30"/>
    </row>
    <row r="505" customFormat="false" ht="15.75" hidden="false" customHeight="false" outlineLevel="0" collapsed="false">
      <c r="A505" s="30"/>
      <c r="B505" s="30"/>
      <c r="C505" s="30"/>
      <c r="D505" s="31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  <c r="AL505" s="30"/>
      <c r="AM505" s="30"/>
      <c r="AN505" s="30"/>
      <c r="AO505" s="30"/>
      <c r="AP505" s="30"/>
      <c r="AQ505" s="30"/>
      <c r="AR505" s="30"/>
      <c r="AS505" s="30"/>
    </row>
    <row r="506" customFormat="false" ht="15.75" hidden="false" customHeight="false" outlineLevel="0" collapsed="false">
      <c r="A506" s="30"/>
      <c r="B506" s="30"/>
      <c r="C506" s="30"/>
      <c r="D506" s="31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0"/>
      <c r="AR506" s="30"/>
      <c r="AS506" s="30"/>
    </row>
    <row r="507" customFormat="false" ht="15.75" hidden="false" customHeight="false" outlineLevel="0" collapsed="false">
      <c r="A507" s="30"/>
      <c r="B507" s="30"/>
      <c r="C507" s="30"/>
      <c r="D507" s="31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  <c r="AN507" s="30"/>
      <c r="AO507" s="30"/>
      <c r="AP507" s="30"/>
      <c r="AQ507" s="30"/>
      <c r="AR507" s="30"/>
      <c r="AS507" s="30"/>
    </row>
    <row r="508" customFormat="false" ht="15.75" hidden="false" customHeight="false" outlineLevel="0" collapsed="false">
      <c r="A508" s="30"/>
      <c r="B508" s="30"/>
      <c r="C508" s="30"/>
      <c r="D508" s="31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0"/>
      <c r="AS508" s="30"/>
    </row>
    <row r="509" customFormat="false" ht="15.75" hidden="false" customHeight="false" outlineLevel="0" collapsed="false">
      <c r="A509" s="30"/>
      <c r="B509" s="30"/>
      <c r="C509" s="30"/>
      <c r="D509" s="31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  <c r="AL509" s="30"/>
      <c r="AM509" s="30"/>
      <c r="AN509" s="30"/>
      <c r="AO509" s="30"/>
      <c r="AP509" s="30"/>
      <c r="AQ509" s="30"/>
      <c r="AR509" s="30"/>
      <c r="AS509" s="30"/>
    </row>
    <row r="510" customFormat="false" ht="15.75" hidden="false" customHeight="false" outlineLevel="0" collapsed="false">
      <c r="A510" s="30"/>
      <c r="B510" s="30"/>
      <c r="C510" s="30"/>
      <c r="D510" s="31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  <c r="AL510" s="30"/>
      <c r="AM510" s="30"/>
      <c r="AN510" s="30"/>
      <c r="AO510" s="30"/>
      <c r="AP510" s="30"/>
      <c r="AQ510" s="30"/>
      <c r="AR510" s="30"/>
      <c r="AS510" s="30"/>
    </row>
    <row r="511" customFormat="false" ht="15.75" hidden="false" customHeight="false" outlineLevel="0" collapsed="false">
      <c r="A511" s="30"/>
      <c r="B511" s="30"/>
      <c r="C511" s="30"/>
      <c r="D511" s="31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  <c r="AN511" s="30"/>
      <c r="AO511" s="30"/>
      <c r="AP511" s="30"/>
      <c r="AQ511" s="30"/>
      <c r="AR511" s="30"/>
      <c r="AS511" s="30"/>
    </row>
    <row r="512" customFormat="false" ht="15.75" hidden="false" customHeight="false" outlineLevel="0" collapsed="false">
      <c r="A512" s="30"/>
      <c r="B512" s="30"/>
      <c r="C512" s="30"/>
      <c r="D512" s="31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  <c r="AN512" s="30"/>
      <c r="AO512" s="30"/>
      <c r="AP512" s="30"/>
      <c r="AQ512" s="30"/>
      <c r="AR512" s="30"/>
      <c r="AS512" s="30"/>
    </row>
    <row r="513" customFormat="false" ht="15.75" hidden="false" customHeight="false" outlineLevel="0" collapsed="false">
      <c r="A513" s="30"/>
      <c r="B513" s="30"/>
      <c r="C513" s="30"/>
      <c r="D513" s="31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0"/>
      <c r="AS513" s="30"/>
    </row>
    <row r="514" customFormat="false" ht="15.75" hidden="false" customHeight="false" outlineLevel="0" collapsed="false">
      <c r="A514" s="30"/>
      <c r="B514" s="30"/>
      <c r="C514" s="30"/>
      <c r="D514" s="31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0"/>
      <c r="AS514" s="30"/>
    </row>
    <row r="515" customFormat="false" ht="15.75" hidden="false" customHeight="false" outlineLevel="0" collapsed="false">
      <c r="A515" s="30"/>
      <c r="B515" s="30"/>
      <c r="C515" s="30"/>
      <c r="D515" s="31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  <c r="AL515" s="30"/>
      <c r="AM515" s="30"/>
      <c r="AN515" s="30"/>
      <c r="AO515" s="30"/>
      <c r="AP515" s="30"/>
      <c r="AQ515" s="30"/>
      <c r="AR515" s="30"/>
      <c r="AS515" s="30"/>
    </row>
    <row r="516" customFormat="false" ht="15.75" hidden="false" customHeight="false" outlineLevel="0" collapsed="false">
      <c r="A516" s="30"/>
      <c r="B516" s="30"/>
      <c r="C516" s="30"/>
      <c r="D516" s="31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  <c r="AL516" s="30"/>
      <c r="AM516" s="30"/>
      <c r="AN516" s="30"/>
      <c r="AO516" s="30"/>
      <c r="AP516" s="30"/>
      <c r="AQ516" s="30"/>
      <c r="AR516" s="30"/>
      <c r="AS516" s="30"/>
    </row>
    <row r="517" customFormat="false" ht="15.75" hidden="false" customHeight="false" outlineLevel="0" collapsed="false">
      <c r="A517" s="30"/>
      <c r="B517" s="30"/>
      <c r="C517" s="30"/>
      <c r="D517" s="31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30"/>
      <c r="AM517" s="30"/>
      <c r="AN517" s="30"/>
      <c r="AO517" s="30"/>
      <c r="AP517" s="30"/>
      <c r="AQ517" s="30"/>
      <c r="AR517" s="30"/>
      <c r="AS517" s="30"/>
    </row>
    <row r="518" customFormat="false" ht="15.75" hidden="false" customHeight="false" outlineLevel="0" collapsed="false">
      <c r="A518" s="30"/>
      <c r="B518" s="30"/>
      <c r="C518" s="30"/>
      <c r="D518" s="31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  <c r="AR518" s="30"/>
      <c r="AS518" s="30"/>
    </row>
    <row r="519" customFormat="false" ht="15.75" hidden="false" customHeight="false" outlineLevel="0" collapsed="false">
      <c r="A519" s="30"/>
      <c r="B519" s="30"/>
      <c r="C519" s="30"/>
      <c r="D519" s="31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  <c r="AL519" s="30"/>
      <c r="AM519" s="30"/>
      <c r="AN519" s="30"/>
      <c r="AO519" s="30"/>
      <c r="AP519" s="30"/>
      <c r="AQ519" s="30"/>
      <c r="AR519" s="30"/>
      <c r="AS519" s="30"/>
    </row>
    <row r="520" customFormat="false" ht="15.75" hidden="false" customHeight="false" outlineLevel="0" collapsed="false">
      <c r="A520" s="30"/>
      <c r="B520" s="30"/>
      <c r="C520" s="30"/>
      <c r="D520" s="31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  <c r="AR520" s="30"/>
      <c r="AS520" s="30"/>
    </row>
    <row r="521" customFormat="false" ht="15.75" hidden="false" customHeight="false" outlineLevel="0" collapsed="false">
      <c r="A521" s="30"/>
      <c r="B521" s="30"/>
      <c r="C521" s="30"/>
      <c r="D521" s="31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  <c r="AL521" s="30"/>
      <c r="AM521" s="30"/>
      <c r="AN521" s="30"/>
      <c r="AO521" s="30"/>
      <c r="AP521" s="30"/>
      <c r="AQ521" s="30"/>
      <c r="AR521" s="30"/>
      <c r="AS521" s="30"/>
    </row>
    <row r="522" customFormat="false" ht="15.75" hidden="false" customHeight="false" outlineLevel="0" collapsed="false">
      <c r="A522" s="30"/>
      <c r="B522" s="30"/>
      <c r="C522" s="30"/>
      <c r="D522" s="31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  <c r="AL522" s="30"/>
      <c r="AM522" s="30"/>
      <c r="AN522" s="30"/>
      <c r="AO522" s="30"/>
      <c r="AP522" s="30"/>
      <c r="AQ522" s="30"/>
      <c r="AR522" s="30"/>
      <c r="AS522" s="30"/>
    </row>
    <row r="523" customFormat="false" ht="15.75" hidden="false" customHeight="false" outlineLevel="0" collapsed="false">
      <c r="A523" s="30"/>
      <c r="B523" s="30"/>
      <c r="C523" s="30"/>
      <c r="D523" s="31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  <c r="AL523" s="30"/>
      <c r="AM523" s="30"/>
      <c r="AN523" s="30"/>
      <c r="AO523" s="30"/>
      <c r="AP523" s="30"/>
      <c r="AQ523" s="30"/>
      <c r="AR523" s="30"/>
      <c r="AS523" s="30"/>
    </row>
    <row r="524" customFormat="false" ht="15.75" hidden="false" customHeight="false" outlineLevel="0" collapsed="false">
      <c r="A524" s="30"/>
      <c r="B524" s="30"/>
      <c r="C524" s="30"/>
      <c r="D524" s="31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  <c r="AL524" s="30"/>
      <c r="AM524" s="30"/>
      <c r="AN524" s="30"/>
      <c r="AO524" s="30"/>
      <c r="AP524" s="30"/>
      <c r="AQ524" s="30"/>
      <c r="AR524" s="30"/>
      <c r="AS524" s="30"/>
    </row>
    <row r="525" customFormat="false" ht="15.75" hidden="false" customHeight="false" outlineLevel="0" collapsed="false">
      <c r="A525" s="30"/>
      <c r="B525" s="30"/>
      <c r="C525" s="30"/>
      <c r="D525" s="31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  <c r="AL525" s="30"/>
      <c r="AM525" s="30"/>
      <c r="AN525" s="30"/>
      <c r="AO525" s="30"/>
      <c r="AP525" s="30"/>
      <c r="AQ525" s="30"/>
      <c r="AR525" s="30"/>
      <c r="AS525" s="30"/>
    </row>
    <row r="526" customFormat="false" ht="15.75" hidden="false" customHeight="false" outlineLevel="0" collapsed="false">
      <c r="A526" s="30"/>
      <c r="B526" s="30"/>
      <c r="C526" s="30"/>
      <c r="D526" s="31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  <c r="AL526" s="30"/>
      <c r="AM526" s="30"/>
      <c r="AN526" s="30"/>
      <c r="AO526" s="30"/>
      <c r="AP526" s="30"/>
      <c r="AQ526" s="30"/>
      <c r="AR526" s="30"/>
      <c r="AS526" s="30"/>
    </row>
    <row r="527" customFormat="false" ht="15.75" hidden="false" customHeight="false" outlineLevel="0" collapsed="false">
      <c r="A527" s="30"/>
      <c r="B527" s="30"/>
      <c r="C527" s="30"/>
      <c r="D527" s="31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  <c r="AL527" s="30"/>
      <c r="AM527" s="30"/>
      <c r="AN527" s="30"/>
      <c r="AO527" s="30"/>
      <c r="AP527" s="30"/>
      <c r="AQ527" s="30"/>
      <c r="AR527" s="30"/>
      <c r="AS527" s="30"/>
    </row>
    <row r="528" customFormat="false" ht="15.75" hidden="false" customHeight="false" outlineLevel="0" collapsed="false">
      <c r="A528" s="30"/>
      <c r="B528" s="30"/>
      <c r="C528" s="30"/>
      <c r="D528" s="31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  <c r="AL528" s="30"/>
      <c r="AM528" s="30"/>
      <c r="AN528" s="30"/>
      <c r="AO528" s="30"/>
      <c r="AP528" s="30"/>
      <c r="AQ528" s="30"/>
      <c r="AR528" s="30"/>
      <c r="AS528" s="30"/>
    </row>
    <row r="529" customFormat="false" ht="15.75" hidden="false" customHeight="false" outlineLevel="0" collapsed="false">
      <c r="A529" s="30"/>
      <c r="B529" s="30"/>
      <c r="C529" s="30"/>
      <c r="D529" s="31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  <c r="AP529" s="30"/>
      <c r="AQ529" s="30"/>
      <c r="AR529" s="30"/>
      <c r="AS529" s="30"/>
    </row>
    <row r="530" customFormat="false" ht="15.75" hidden="false" customHeight="false" outlineLevel="0" collapsed="false">
      <c r="A530" s="30"/>
      <c r="B530" s="30"/>
      <c r="C530" s="30"/>
      <c r="D530" s="31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  <c r="AL530" s="30"/>
      <c r="AM530" s="30"/>
      <c r="AN530" s="30"/>
      <c r="AO530" s="30"/>
      <c r="AP530" s="30"/>
      <c r="AQ530" s="30"/>
      <c r="AR530" s="30"/>
      <c r="AS530" s="30"/>
    </row>
    <row r="531" customFormat="false" ht="15.75" hidden="false" customHeight="false" outlineLevel="0" collapsed="false">
      <c r="A531" s="30"/>
      <c r="B531" s="30"/>
      <c r="C531" s="30"/>
      <c r="D531" s="31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  <c r="AN531" s="30"/>
      <c r="AO531" s="30"/>
      <c r="AP531" s="30"/>
      <c r="AQ531" s="30"/>
      <c r="AR531" s="30"/>
      <c r="AS531" s="30"/>
    </row>
    <row r="532" customFormat="false" ht="15.75" hidden="false" customHeight="false" outlineLevel="0" collapsed="false">
      <c r="A532" s="30"/>
      <c r="B532" s="30"/>
      <c r="C532" s="30"/>
      <c r="D532" s="31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  <c r="AL532" s="30"/>
      <c r="AM532" s="30"/>
      <c r="AN532" s="30"/>
      <c r="AO532" s="30"/>
      <c r="AP532" s="30"/>
      <c r="AQ532" s="30"/>
      <c r="AR532" s="30"/>
      <c r="AS532" s="30"/>
    </row>
    <row r="533" customFormat="false" ht="15.75" hidden="false" customHeight="false" outlineLevel="0" collapsed="false">
      <c r="A533" s="30"/>
      <c r="B533" s="30"/>
      <c r="C533" s="30"/>
      <c r="D533" s="31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  <c r="AL533" s="30"/>
      <c r="AM533" s="30"/>
      <c r="AN533" s="30"/>
      <c r="AO533" s="30"/>
      <c r="AP533" s="30"/>
      <c r="AQ533" s="30"/>
      <c r="AR533" s="30"/>
      <c r="AS533" s="30"/>
    </row>
    <row r="534" customFormat="false" ht="15.75" hidden="false" customHeight="false" outlineLevel="0" collapsed="false">
      <c r="A534" s="30"/>
      <c r="B534" s="30"/>
      <c r="C534" s="30"/>
      <c r="D534" s="31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0"/>
      <c r="AS534" s="30"/>
    </row>
    <row r="535" customFormat="false" ht="15.75" hidden="false" customHeight="false" outlineLevel="0" collapsed="false">
      <c r="A535" s="30"/>
      <c r="B535" s="30"/>
      <c r="C535" s="30"/>
      <c r="D535" s="31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  <c r="AL535" s="30"/>
      <c r="AM535" s="30"/>
      <c r="AN535" s="30"/>
      <c r="AO535" s="30"/>
      <c r="AP535" s="30"/>
      <c r="AQ535" s="30"/>
      <c r="AR535" s="30"/>
      <c r="AS535" s="30"/>
    </row>
    <row r="536" customFormat="false" ht="15.75" hidden="false" customHeight="false" outlineLevel="0" collapsed="false">
      <c r="A536" s="30"/>
      <c r="B536" s="30"/>
      <c r="C536" s="30"/>
      <c r="D536" s="31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  <c r="AL536" s="30"/>
      <c r="AM536" s="30"/>
      <c r="AN536" s="30"/>
      <c r="AO536" s="30"/>
      <c r="AP536" s="30"/>
      <c r="AQ536" s="30"/>
      <c r="AR536" s="30"/>
      <c r="AS536" s="30"/>
    </row>
    <row r="537" customFormat="false" ht="15.75" hidden="false" customHeight="false" outlineLevel="0" collapsed="false">
      <c r="A537" s="30"/>
      <c r="B537" s="30"/>
      <c r="C537" s="30"/>
      <c r="D537" s="31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/>
      <c r="AM537" s="30"/>
      <c r="AN537" s="30"/>
      <c r="AO537" s="30"/>
      <c r="AP537" s="30"/>
      <c r="AQ537" s="30"/>
      <c r="AR537" s="30"/>
      <c r="AS537" s="30"/>
    </row>
    <row r="538" customFormat="false" ht="15.75" hidden="false" customHeight="false" outlineLevel="0" collapsed="false">
      <c r="A538" s="30"/>
      <c r="B538" s="30"/>
      <c r="C538" s="30"/>
      <c r="D538" s="31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  <c r="AN538" s="30"/>
      <c r="AO538" s="30"/>
      <c r="AP538" s="30"/>
      <c r="AQ538" s="30"/>
      <c r="AR538" s="30"/>
      <c r="AS538" s="30"/>
    </row>
    <row r="539" customFormat="false" ht="15.75" hidden="false" customHeight="false" outlineLevel="0" collapsed="false">
      <c r="A539" s="30"/>
      <c r="B539" s="30"/>
      <c r="C539" s="30"/>
      <c r="D539" s="31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  <c r="AN539" s="30"/>
      <c r="AO539" s="30"/>
      <c r="AP539" s="30"/>
      <c r="AQ539" s="30"/>
      <c r="AR539" s="30"/>
      <c r="AS539" s="30"/>
    </row>
    <row r="540" customFormat="false" ht="15.75" hidden="false" customHeight="false" outlineLevel="0" collapsed="false">
      <c r="A540" s="30"/>
      <c r="B540" s="30"/>
      <c r="C540" s="30"/>
      <c r="D540" s="31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  <c r="AL540" s="30"/>
      <c r="AM540" s="30"/>
      <c r="AN540" s="30"/>
      <c r="AO540" s="30"/>
      <c r="AP540" s="30"/>
      <c r="AQ540" s="30"/>
      <c r="AR540" s="30"/>
      <c r="AS540" s="30"/>
    </row>
    <row r="541" customFormat="false" ht="15.75" hidden="false" customHeight="false" outlineLevel="0" collapsed="false">
      <c r="A541" s="30"/>
      <c r="B541" s="30"/>
      <c r="C541" s="30"/>
      <c r="D541" s="31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  <c r="AL541" s="30"/>
      <c r="AM541" s="30"/>
      <c r="AN541" s="30"/>
      <c r="AO541" s="30"/>
      <c r="AP541" s="30"/>
      <c r="AQ541" s="30"/>
      <c r="AR541" s="30"/>
      <c r="AS541" s="30"/>
    </row>
    <row r="542" customFormat="false" ht="15.75" hidden="false" customHeight="false" outlineLevel="0" collapsed="false">
      <c r="A542" s="30"/>
      <c r="B542" s="30"/>
      <c r="C542" s="30"/>
      <c r="D542" s="31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  <c r="AL542" s="30"/>
      <c r="AM542" s="30"/>
      <c r="AN542" s="30"/>
      <c r="AO542" s="30"/>
      <c r="AP542" s="30"/>
      <c r="AQ542" s="30"/>
      <c r="AR542" s="30"/>
      <c r="AS542" s="30"/>
    </row>
    <row r="543" customFormat="false" ht="15.75" hidden="false" customHeight="false" outlineLevel="0" collapsed="false">
      <c r="A543" s="30"/>
      <c r="B543" s="30"/>
      <c r="C543" s="30"/>
      <c r="D543" s="31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  <c r="AL543" s="30"/>
      <c r="AM543" s="30"/>
      <c r="AN543" s="30"/>
      <c r="AO543" s="30"/>
      <c r="AP543" s="30"/>
      <c r="AQ543" s="30"/>
      <c r="AR543" s="30"/>
      <c r="AS543" s="30"/>
    </row>
    <row r="544" customFormat="false" ht="15.75" hidden="false" customHeight="false" outlineLevel="0" collapsed="false">
      <c r="A544" s="30"/>
      <c r="B544" s="30"/>
      <c r="C544" s="30"/>
      <c r="D544" s="31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  <c r="AN544" s="30"/>
      <c r="AO544" s="30"/>
      <c r="AP544" s="30"/>
      <c r="AQ544" s="30"/>
      <c r="AR544" s="30"/>
      <c r="AS544" s="30"/>
    </row>
    <row r="545" customFormat="false" ht="15.75" hidden="false" customHeight="false" outlineLevel="0" collapsed="false">
      <c r="A545" s="30"/>
      <c r="B545" s="30"/>
      <c r="C545" s="30"/>
      <c r="D545" s="31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  <c r="AL545" s="30"/>
      <c r="AM545" s="30"/>
      <c r="AN545" s="30"/>
      <c r="AO545" s="30"/>
      <c r="AP545" s="30"/>
      <c r="AQ545" s="30"/>
      <c r="AR545" s="30"/>
      <c r="AS545" s="30"/>
    </row>
    <row r="546" customFormat="false" ht="15.75" hidden="false" customHeight="false" outlineLevel="0" collapsed="false">
      <c r="A546" s="30"/>
      <c r="B546" s="30"/>
      <c r="C546" s="30"/>
      <c r="D546" s="31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  <c r="AL546" s="30"/>
      <c r="AM546" s="30"/>
      <c r="AN546" s="30"/>
      <c r="AO546" s="30"/>
      <c r="AP546" s="30"/>
      <c r="AQ546" s="30"/>
      <c r="AR546" s="30"/>
      <c r="AS546" s="30"/>
    </row>
    <row r="547" customFormat="false" ht="15.75" hidden="false" customHeight="false" outlineLevel="0" collapsed="false">
      <c r="A547" s="30"/>
      <c r="B547" s="30"/>
      <c r="C547" s="30"/>
      <c r="D547" s="31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  <c r="AL547" s="30"/>
      <c r="AM547" s="30"/>
      <c r="AN547" s="30"/>
      <c r="AO547" s="30"/>
      <c r="AP547" s="30"/>
      <c r="AQ547" s="30"/>
      <c r="AR547" s="30"/>
      <c r="AS547" s="30"/>
    </row>
    <row r="548" customFormat="false" ht="15.75" hidden="false" customHeight="false" outlineLevel="0" collapsed="false">
      <c r="A548" s="30"/>
      <c r="B548" s="30"/>
      <c r="C548" s="30"/>
      <c r="D548" s="31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  <c r="AR548" s="30"/>
      <c r="AS548" s="30"/>
    </row>
    <row r="549" customFormat="false" ht="15.75" hidden="false" customHeight="false" outlineLevel="0" collapsed="false">
      <c r="A549" s="30"/>
      <c r="B549" s="30"/>
      <c r="C549" s="30"/>
      <c r="D549" s="31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  <c r="AL549" s="30"/>
      <c r="AM549" s="30"/>
      <c r="AN549" s="30"/>
      <c r="AO549" s="30"/>
      <c r="AP549" s="30"/>
      <c r="AQ549" s="30"/>
      <c r="AR549" s="30"/>
      <c r="AS549" s="30"/>
    </row>
    <row r="550" customFormat="false" ht="15.75" hidden="false" customHeight="false" outlineLevel="0" collapsed="false">
      <c r="A550" s="30"/>
      <c r="B550" s="30"/>
      <c r="C550" s="30"/>
      <c r="D550" s="31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  <c r="AL550" s="30"/>
      <c r="AM550" s="30"/>
      <c r="AN550" s="30"/>
      <c r="AO550" s="30"/>
      <c r="AP550" s="30"/>
      <c r="AQ550" s="30"/>
      <c r="AR550" s="30"/>
      <c r="AS550" s="30"/>
    </row>
    <row r="551" customFormat="false" ht="15.75" hidden="false" customHeight="false" outlineLevel="0" collapsed="false">
      <c r="A551" s="30"/>
      <c r="B551" s="30"/>
      <c r="C551" s="30"/>
      <c r="D551" s="31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  <c r="AL551" s="30"/>
      <c r="AM551" s="30"/>
      <c r="AN551" s="30"/>
      <c r="AO551" s="30"/>
      <c r="AP551" s="30"/>
      <c r="AQ551" s="30"/>
      <c r="AR551" s="30"/>
      <c r="AS551" s="30"/>
    </row>
    <row r="552" customFormat="false" ht="15.75" hidden="false" customHeight="false" outlineLevel="0" collapsed="false">
      <c r="A552" s="30"/>
      <c r="B552" s="30"/>
      <c r="C552" s="30"/>
      <c r="D552" s="31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  <c r="AL552" s="30"/>
      <c r="AM552" s="30"/>
      <c r="AN552" s="30"/>
      <c r="AO552" s="30"/>
      <c r="AP552" s="30"/>
      <c r="AQ552" s="30"/>
      <c r="AR552" s="30"/>
      <c r="AS552" s="30"/>
    </row>
    <row r="553" customFormat="false" ht="15.75" hidden="false" customHeight="false" outlineLevel="0" collapsed="false">
      <c r="A553" s="30"/>
      <c r="B553" s="30"/>
      <c r="C553" s="30"/>
      <c r="D553" s="31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  <c r="AN553" s="30"/>
      <c r="AO553" s="30"/>
      <c r="AP553" s="30"/>
      <c r="AQ553" s="30"/>
      <c r="AR553" s="30"/>
      <c r="AS553" s="30"/>
    </row>
    <row r="554" customFormat="false" ht="15.75" hidden="false" customHeight="false" outlineLevel="0" collapsed="false">
      <c r="A554" s="30"/>
      <c r="B554" s="30"/>
      <c r="C554" s="30"/>
      <c r="D554" s="31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  <c r="AR554" s="30"/>
      <c r="AS554" s="30"/>
    </row>
    <row r="555" customFormat="false" ht="15.75" hidden="false" customHeight="false" outlineLevel="0" collapsed="false">
      <c r="A555" s="30"/>
      <c r="B555" s="30"/>
      <c r="C555" s="30"/>
      <c r="D555" s="31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  <c r="AP555" s="30"/>
      <c r="AQ555" s="30"/>
      <c r="AR555" s="30"/>
      <c r="AS555" s="30"/>
    </row>
    <row r="556" customFormat="false" ht="15.75" hidden="false" customHeight="false" outlineLevel="0" collapsed="false">
      <c r="A556" s="30"/>
      <c r="B556" s="30"/>
      <c r="C556" s="30"/>
      <c r="D556" s="31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  <c r="AL556" s="30"/>
      <c r="AM556" s="30"/>
      <c r="AN556" s="30"/>
      <c r="AO556" s="30"/>
      <c r="AP556" s="30"/>
      <c r="AQ556" s="30"/>
      <c r="AR556" s="30"/>
      <c r="AS556" s="30"/>
    </row>
    <row r="557" customFormat="false" ht="15.75" hidden="false" customHeight="false" outlineLevel="0" collapsed="false">
      <c r="A557" s="30"/>
      <c r="B557" s="30"/>
      <c r="C557" s="30"/>
      <c r="D557" s="31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  <c r="AL557" s="30"/>
      <c r="AM557" s="30"/>
      <c r="AN557" s="30"/>
      <c r="AO557" s="30"/>
      <c r="AP557" s="30"/>
      <c r="AQ557" s="30"/>
      <c r="AR557" s="30"/>
      <c r="AS557" s="30"/>
    </row>
    <row r="558" customFormat="false" ht="15.75" hidden="false" customHeight="false" outlineLevel="0" collapsed="false">
      <c r="A558" s="30"/>
      <c r="B558" s="30"/>
      <c r="C558" s="30"/>
      <c r="D558" s="31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  <c r="AL558" s="30"/>
      <c r="AM558" s="30"/>
      <c r="AN558" s="30"/>
      <c r="AO558" s="30"/>
      <c r="AP558" s="30"/>
      <c r="AQ558" s="30"/>
      <c r="AR558" s="30"/>
      <c r="AS558" s="30"/>
    </row>
    <row r="559" customFormat="false" ht="15.75" hidden="false" customHeight="false" outlineLevel="0" collapsed="false">
      <c r="A559" s="30"/>
      <c r="B559" s="30"/>
      <c r="C559" s="30"/>
      <c r="D559" s="31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  <c r="AL559" s="30"/>
      <c r="AM559" s="30"/>
      <c r="AN559" s="30"/>
      <c r="AO559" s="30"/>
      <c r="AP559" s="30"/>
      <c r="AQ559" s="30"/>
      <c r="AR559" s="30"/>
      <c r="AS559" s="30"/>
    </row>
    <row r="560" customFormat="false" ht="15.75" hidden="false" customHeight="false" outlineLevel="0" collapsed="false">
      <c r="A560" s="30"/>
      <c r="B560" s="30"/>
      <c r="C560" s="30"/>
      <c r="D560" s="31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  <c r="AL560" s="30"/>
      <c r="AM560" s="30"/>
      <c r="AN560" s="30"/>
      <c r="AO560" s="30"/>
      <c r="AP560" s="30"/>
      <c r="AQ560" s="30"/>
      <c r="AR560" s="30"/>
      <c r="AS560" s="30"/>
    </row>
    <row r="561" customFormat="false" ht="15.75" hidden="false" customHeight="false" outlineLevel="0" collapsed="false">
      <c r="A561" s="30"/>
      <c r="B561" s="30"/>
      <c r="C561" s="30"/>
      <c r="D561" s="31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  <c r="AL561" s="30"/>
      <c r="AM561" s="30"/>
      <c r="AN561" s="30"/>
      <c r="AO561" s="30"/>
      <c r="AP561" s="30"/>
      <c r="AQ561" s="30"/>
      <c r="AR561" s="30"/>
      <c r="AS561" s="30"/>
    </row>
    <row r="562" customFormat="false" ht="15.75" hidden="false" customHeight="false" outlineLevel="0" collapsed="false">
      <c r="A562" s="30"/>
      <c r="B562" s="30"/>
      <c r="C562" s="30"/>
      <c r="D562" s="31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  <c r="AL562" s="30"/>
      <c r="AM562" s="30"/>
      <c r="AN562" s="30"/>
      <c r="AO562" s="30"/>
      <c r="AP562" s="30"/>
      <c r="AQ562" s="30"/>
      <c r="AR562" s="30"/>
      <c r="AS562" s="30"/>
    </row>
    <row r="563" customFormat="false" ht="15.75" hidden="false" customHeight="false" outlineLevel="0" collapsed="false">
      <c r="A563" s="30"/>
      <c r="B563" s="30"/>
      <c r="C563" s="30"/>
      <c r="D563" s="31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  <c r="AL563" s="30"/>
      <c r="AM563" s="30"/>
      <c r="AN563" s="30"/>
      <c r="AO563" s="30"/>
      <c r="AP563" s="30"/>
      <c r="AQ563" s="30"/>
      <c r="AR563" s="30"/>
      <c r="AS563" s="30"/>
    </row>
    <row r="564" customFormat="false" ht="15.75" hidden="false" customHeight="false" outlineLevel="0" collapsed="false">
      <c r="A564" s="30"/>
      <c r="B564" s="30"/>
      <c r="C564" s="30"/>
      <c r="D564" s="31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  <c r="AL564" s="30"/>
      <c r="AM564" s="30"/>
      <c r="AN564" s="30"/>
      <c r="AO564" s="30"/>
      <c r="AP564" s="30"/>
      <c r="AQ564" s="30"/>
      <c r="AR564" s="30"/>
      <c r="AS564" s="30"/>
    </row>
    <row r="565" customFormat="false" ht="15.75" hidden="false" customHeight="false" outlineLevel="0" collapsed="false">
      <c r="A565" s="30"/>
      <c r="B565" s="30"/>
      <c r="C565" s="30"/>
      <c r="D565" s="31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/>
      <c r="AM565" s="30"/>
      <c r="AN565" s="30"/>
      <c r="AO565" s="30"/>
      <c r="AP565" s="30"/>
      <c r="AQ565" s="30"/>
      <c r="AR565" s="30"/>
      <c r="AS565" s="30"/>
    </row>
    <row r="566" customFormat="false" ht="15.75" hidden="false" customHeight="false" outlineLevel="0" collapsed="false">
      <c r="A566" s="30"/>
      <c r="B566" s="30"/>
      <c r="C566" s="30"/>
      <c r="D566" s="31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  <c r="AL566" s="30"/>
      <c r="AM566" s="30"/>
      <c r="AN566" s="30"/>
      <c r="AO566" s="30"/>
      <c r="AP566" s="30"/>
      <c r="AQ566" s="30"/>
      <c r="AR566" s="30"/>
      <c r="AS566" s="30"/>
    </row>
    <row r="567" customFormat="false" ht="15.75" hidden="false" customHeight="false" outlineLevel="0" collapsed="false">
      <c r="A567" s="30"/>
      <c r="B567" s="30"/>
      <c r="C567" s="30"/>
      <c r="D567" s="31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  <c r="AL567" s="30"/>
      <c r="AM567" s="30"/>
      <c r="AN567" s="30"/>
      <c r="AO567" s="30"/>
      <c r="AP567" s="30"/>
      <c r="AQ567" s="30"/>
      <c r="AR567" s="30"/>
      <c r="AS567" s="30"/>
    </row>
    <row r="568" customFormat="false" ht="15.75" hidden="false" customHeight="false" outlineLevel="0" collapsed="false">
      <c r="A568" s="30"/>
      <c r="B568" s="30"/>
      <c r="C568" s="30"/>
      <c r="D568" s="31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  <c r="AL568" s="30"/>
      <c r="AM568" s="30"/>
      <c r="AN568" s="30"/>
      <c r="AO568" s="30"/>
      <c r="AP568" s="30"/>
      <c r="AQ568" s="30"/>
      <c r="AR568" s="30"/>
      <c r="AS568" s="30"/>
    </row>
    <row r="569" customFormat="false" ht="15.75" hidden="false" customHeight="false" outlineLevel="0" collapsed="false">
      <c r="A569" s="30"/>
      <c r="B569" s="30"/>
      <c r="C569" s="30"/>
      <c r="D569" s="31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  <c r="AL569" s="30"/>
      <c r="AM569" s="30"/>
      <c r="AN569" s="30"/>
      <c r="AO569" s="30"/>
      <c r="AP569" s="30"/>
      <c r="AQ569" s="30"/>
      <c r="AR569" s="30"/>
      <c r="AS569" s="30"/>
    </row>
    <row r="570" customFormat="false" ht="15.75" hidden="false" customHeight="false" outlineLevel="0" collapsed="false">
      <c r="A570" s="30"/>
      <c r="B570" s="30"/>
      <c r="C570" s="30"/>
      <c r="D570" s="31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  <c r="AL570" s="30"/>
      <c r="AM570" s="30"/>
      <c r="AN570" s="30"/>
      <c r="AO570" s="30"/>
      <c r="AP570" s="30"/>
      <c r="AQ570" s="30"/>
      <c r="AR570" s="30"/>
      <c r="AS570" s="30"/>
    </row>
    <row r="571" customFormat="false" ht="15.75" hidden="false" customHeight="false" outlineLevel="0" collapsed="false">
      <c r="A571" s="30"/>
      <c r="B571" s="30"/>
      <c r="C571" s="30"/>
      <c r="D571" s="31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  <c r="AL571" s="30"/>
      <c r="AM571" s="30"/>
      <c r="AN571" s="30"/>
      <c r="AO571" s="30"/>
      <c r="AP571" s="30"/>
      <c r="AQ571" s="30"/>
      <c r="AR571" s="30"/>
      <c r="AS571" s="30"/>
    </row>
    <row r="572" customFormat="false" ht="15.75" hidden="false" customHeight="false" outlineLevel="0" collapsed="false">
      <c r="A572" s="30"/>
      <c r="B572" s="30"/>
      <c r="C572" s="30"/>
      <c r="D572" s="31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  <c r="AL572" s="30"/>
      <c r="AM572" s="30"/>
      <c r="AN572" s="30"/>
      <c r="AO572" s="30"/>
      <c r="AP572" s="30"/>
      <c r="AQ572" s="30"/>
      <c r="AR572" s="30"/>
      <c r="AS572" s="30"/>
    </row>
    <row r="573" customFormat="false" ht="15.75" hidden="false" customHeight="false" outlineLevel="0" collapsed="false">
      <c r="A573" s="30"/>
      <c r="B573" s="30"/>
      <c r="C573" s="30"/>
      <c r="D573" s="31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  <c r="AN573" s="30"/>
      <c r="AO573" s="30"/>
      <c r="AP573" s="30"/>
      <c r="AQ573" s="30"/>
      <c r="AR573" s="30"/>
      <c r="AS573" s="30"/>
    </row>
    <row r="574" customFormat="false" ht="15.75" hidden="false" customHeight="false" outlineLevel="0" collapsed="false">
      <c r="A574" s="30"/>
      <c r="B574" s="30"/>
      <c r="C574" s="30"/>
      <c r="D574" s="31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  <c r="AL574" s="30"/>
      <c r="AM574" s="30"/>
      <c r="AN574" s="30"/>
      <c r="AO574" s="30"/>
      <c r="AP574" s="30"/>
      <c r="AQ574" s="30"/>
      <c r="AR574" s="30"/>
      <c r="AS574" s="30"/>
    </row>
    <row r="575" customFormat="false" ht="15.75" hidden="false" customHeight="false" outlineLevel="0" collapsed="false">
      <c r="A575" s="30"/>
      <c r="B575" s="30"/>
      <c r="C575" s="30"/>
      <c r="D575" s="31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  <c r="AL575" s="30"/>
      <c r="AM575" s="30"/>
      <c r="AN575" s="30"/>
      <c r="AO575" s="30"/>
      <c r="AP575" s="30"/>
      <c r="AQ575" s="30"/>
      <c r="AR575" s="30"/>
      <c r="AS575" s="30"/>
    </row>
    <row r="576" customFormat="false" ht="15.75" hidden="false" customHeight="false" outlineLevel="0" collapsed="false">
      <c r="A576" s="30"/>
      <c r="B576" s="30"/>
      <c r="C576" s="30"/>
      <c r="D576" s="31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  <c r="AL576" s="30"/>
      <c r="AM576" s="30"/>
      <c r="AN576" s="30"/>
      <c r="AO576" s="30"/>
      <c r="AP576" s="30"/>
      <c r="AQ576" s="30"/>
      <c r="AR576" s="30"/>
      <c r="AS576" s="30"/>
    </row>
    <row r="577" customFormat="false" ht="15.75" hidden="false" customHeight="false" outlineLevel="0" collapsed="false">
      <c r="A577" s="30"/>
      <c r="B577" s="30"/>
      <c r="C577" s="30"/>
      <c r="D577" s="31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  <c r="AP577" s="30"/>
      <c r="AQ577" s="30"/>
      <c r="AR577" s="30"/>
      <c r="AS577" s="30"/>
    </row>
    <row r="578" customFormat="false" ht="15.75" hidden="false" customHeight="false" outlineLevel="0" collapsed="false">
      <c r="A578" s="30"/>
      <c r="B578" s="30"/>
      <c r="C578" s="30"/>
      <c r="D578" s="31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  <c r="AP578" s="30"/>
      <c r="AQ578" s="30"/>
      <c r="AR578" s="30"/>
      <c r="AS578" s="30"/>
    </row>
    <row r="579" customFormat="false" ht="15.75" hidden="false" customHeight="false" outlineLevel="0" collapsed="false">
      <c r="A579" s="30"/>
      <c r="B579" s="30"/>
      <c r="C579" s="30"/>
      <c r="D579" s="31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  <c r="AL579" s="30"/>
      <c r="AM579" s="30"/>
      <c r="AN579" s="30"/>
      <c r="AO579" s="30"/>
      <c r="AP579" s="30"/>
      <c r="AQ579" s="30"/>
      <c r="AR579" s="30"/>
      <c r="AS579" s="30"/>
    </row>
    <row r="580" customFormat="false" ht="15.75" hidden="false" customHeight="false" outlineLevel="0" collapsed="false">
      <c r="A580" s="30"/>
      <c r="B580" s="30"/>
      <c r="C580" s="30"/>
      <c r="D580" s="31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  <c r="AL580" s="30"/>
      <c r="AM580" s="30"/>
      <c r="AN580" s="30"/>
      <c r="AO580" s="30"/>
      <c r="AP580" s="30"/>
      <c r="AQ580" s="30"/>
      <c r="AR580" s="30"/>
      <c r="AS580" s="30"/>
    </row>
    <row r="581" customFormat="false" ht="15.75" hidden="false" customHeight="false" outlineLevel="0" collapsed="false">
      <c r="A581" s="30"/>
      <c r="B581" s="30"/>
      <c r="C581" s="30"/>
      <c r="D581" s="31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  <c r="AL581" s="30"/>
      <c r="AM581" s="30"/>
      <c r="AN581" s="30"/>
      <c r="AO581" s="30"/>
      <c r="AP581" s="30"/>
      <c r="AQ581" s="30"/>
      <c r="AR581" s="30"/>
      <c r="AS581" s="30"/>
    </row>
    <row r="582" customFormat="false" ht="15.75" hidden="false" customHeight="false" outlineLevel="0" collapsed="false">
      <c r="A582" s="30"/>
      <c r="B582" s="30"/>
      <c r="C582" s="30"/>
      <c r="D582" s="31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  <c r="AL582" s="30"/>
      <c r="AM582" s="30"/>
      <c r="AN582" s="30"/>
      <c r="AO582" s="30"/>
      <c r="AP582" s="30"/>
      <c r="AQ582" s="30"/>
      <c r="AR582" s="30"/>
      <c r="AS582" s="30"/>
    </row>
    <row r="583" customFormat="false" ht="15.75" hidden="false" customHeight="false" outlineLevel="0" collapsed="false">
      <c r="A583" s="30"/>
      <c r="B583" s="30"/>
      <c r="C583" s="30"/>
      <c r="D583" s="31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30"/>
      <c r="AM583" s="30"/>
      <c r="AN583" s="30"/>
      <c r="AO583" s="30"/>
      <c r="AP583" s="30"/>
      <c r="AQ583" s="30"/>
      <c r="AR583" s="30"/>
      <c r="AS583" s="30"/>
    </row>
    <row r="584" customFormat="false" ht="15.75" hidden="false" customHeight="false" outlineLevel="0" collapsed="false">
      <c r="A584" s="30"/>
      <c r="B584" s="30"/>
      <c r="C584" s="30"/>
      <c r="D584" s="31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  <c r="AM584" s="30"/>
      <c r="AN584" s="30"/>
      <c r="AO584" s="30"/>
      <c r="AP584" s="30"/>
      <c r="AQ584" s="30"/>
      <c r="AR584" s="30"/>
      <c r="AS584" s="30"/>
    </row>
    <row r="585" customFormat="false" ht="15.75" hidden="false" customHeight="false" outlineLevel="0" collapsed="false">
      <c r="A585" s="30"/>
      <c r="B585" s="30"/>
      <c r="C585" s="30"/>
      <c r="D585" s="31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  <c r="AL585" s="30"/>
      <c r="AM585" s="30"/>
      <c r="AN585" s="30"/>
      <c r="AO585" s="30"/>
      <c r="AP585" s="30"/>
      <c r="AQ585" s="30"/>
      <c r="AR585" s="30"/>
      <c r="AS585" s="30"/>
    </row>
    <row r="586" customFormat="false" ht="15.75" hidden="false" customHeight="false" outlineLevel="0" collapsed="false">
      <c r="A586" s="30"/>
      <c r="B586" s="30"/>
      <c r="C586" s="30"/>
      <c r="D586" s="31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30"/>
      <c r="AM586" s="30"/>
      <c r="AN586" s="30"/>
      <c r="AO586" s="30"/>
      <c r="AP586" s="30"/>
      <c r="AQ586" s="30"/>
      <c r="AR586" s="30"/>
      <c r="AS586" s="30"/>
    </row>
    <row r="587" customFormat="false" ht="15.75" hidden="false" customHeight="false" outlineLevel="0" collapsed="false">
      <c r="A587" s="30"/>
      <c r="B587" s="30"/>
      <c r="C587" s="30"/>
      <c r="D587" s="31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  <c r="AL587" s="30"/>
      <c r="AM587" s="30"/>
      <c r="AN587" s="30"/>
      <c r="AO587" s="30"/>
      <c r="AP587" s="30"/>
      <c r="AQ587" s="30"/>
      <c r="AR587" s="30"/>
      <c r="AS587" s="30"/>
    </row>
    <row r="588" customFormat="false" ht="15.75" hidden="false" customHeight="false" outlineLevel="0" collapsed="false">
      <c r="A588" s="30"/>
      <c r="B588" s="30"/>
      <c r="C588" s="30"/>
      <c r="D588" s="31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  <c r="AL588" s="30"/>
      <c r="AM588" s="30"/>
      <c r="AN588" s="30"/>
      <c r="AO588" s="30"/>
      <c r="AP588" s="30"/>
      <c r="AQ588" s="30"/>
      <c r="AR588" s="30"/>
      <c r="AS588" s="30"/>
    </row>
    <row r="589" customFormat="false" ht="15.75" hidden="false" customHeight="false" outlineLevel="0" collapsed="false">
      <c r="A589" s="30"/>
      <c r="B589" s="30"/>
      <c r="C589" s="30"/>
      <c r="D589" s="31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  <c r="AL589" s="30"/>
      <c r="AM589" s="30"/>
      <c r="AN589" s="30"/>
      <c r="AO589" s="30"/>
      <c r="AP589" s="30"/>
      <c r="AQ589" s="30"/>
      <c r="AR589" s="30"/>
      <c r="AS589" s="30"/>
    </row>
    <row r="590" customFormat="false" ht="15.75" hidden="false" customHeight="false" outlineLevel="0" collapsed="false">
      <c r="A590" s="30"/>
      <c r="B590" s="30"/>
      <c r="C590" s="30"/>
      <c r="D590" s="31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  <c r="AL590" s="30"/>
      <c r="AM590" s="30"/>
      <c r="AN590" s="30"/>
      <c r="AO590" s="30"/>
      <c r="AP590" s="30"/>
      <c r="AQ590" s="30"/>
      <c r="AR590" s="30"/>
      <c r="AS590" s="30"/>
    </row>
    <row r="591" customFormat="false" ht="15.75" hidden="false" customHeight="false" outlineLevel="0" collapsed="false">
      <c r="A591" s="30"/>
      <c r="B591" s="30"/>
      <c r="C591" s="30"/>
      <c r="D591" s="31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  <c r="AL591" s="30"/>
      <c r="AM591" s="30"/>
      <c r="AN591" s="30"/>
      <c r="AO591" s="30"/>
      <c r="AP591" s="30"/>
      <c r="AQ591" s="30"/>
      <c r="AR591" s="30"/>
      <c r="AS591" s="30"/>
    </row>
    <row r="592" customFormat="false" ht="15.75" hidden="false" customHeight="false" outlineLevel="0" collapsed="false">
      <c r="A592" s="30"/>
      <c r="B592" s="30"/>
      <c r="C592" s="30"/>
      <c r="D592" s="31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  <c r="AL592" s="30"/>
      <c r="AM592" s="30"/>
      <c r="AN592" s="30"/>
      <c r="AO592" s="30"/>
      <c r="AP592" s="30"/>
      <c r="AQ592" s="30"/>
      <c r="AR592" s="30"/>
      <c r="AS592" s="30"/>
    </row>
    <row r="593" customFormat="false" ht="15.75" hidden="false" customHeight="false" outlineLevel="0" collapsed="false">
      <c r="A593" s="30"/>
      <c r="B593" s="30"/>
      <c r="C593" s="30"/>
      <c r="D593" s="31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  <c r="AL593" s="30"/>
      <c r="AM593" s="30"/>
      <c r="AN593" s="30"/>
      <c r="AO593" s="30"/>
      <c r="AP593" s="30"/>
      <c r="AQ593" s="30"/>
      <c r="AR593" s="30"/>
      <c r="AS593" s="30"/>
    </row>
    <row r="594" customFormat="false" ht="15.75" hidden="false" customHeight="false" outlineLevel="0" collapsed="false">
      <c r="A594" s="30"/>
      <c r="B594" s="30"/>
      <c r="C594" s="30"/>
      <c r="D594" s="31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30"/>
      <c r="AM594" s="30"/>
      <c r="AN594" s="30"/>
      <c r="AO594" s="30"/>
      <c r="AP594" s="30"/>
      <c r="AQ594" s="30"/>
      <c r="AR594" s="30"/>
      <c r="AS594" s="30"/>
    </row>
    <row r="595" customFormat="false" ht="15.75" hidden="false" customHeight="false" outlineLevel="0" collapsed="false">
      <c r="A595" s="30"/>
      <c r="B595" s="30"/>
      <c r="C595" s="30"/>
      <c r="D595" s="31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  <c r="AL595" s="30"/>
      <c r="AM595" s="30"/>
      <c r="AN595" s="30"/>
      <c r="AO595" s="30"/>
      <c r="AP595" s="30"/>
      <c r="AQ595" s="30"/>
      <c r="AR595" s="30"/>
      <c r="AS595" s="30"/>
    </row>
    <row r="596" customFormat="false" ht="15.75" hidden="false" customHeight="false" outlineLevel="0" collapsed="false">
      <c r="A596" s="30"/>
      <c r="B596" s="30"/>
      <c r="C596" s="30"/>
      <c r="D596" s="31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  <c r="AL596" s="30"/>
      <c r="AM596" s="30"/>
      <c r="AN596" s="30"/>
      <c r="AO596" s="30"/>
      <c r="AP596" s="30"/>
      <c r="AQ596" s="30"/>
      <c r="AR596" s="30"/>
      <c r="AS596" s="30"/>
    </row>
    <row r="597" customFormat="false" ht="15.75" hidden="false" customHeight="false" outlineLevel="0" collapsed="false">
      <c r="A597" s="30"/>
      <c r="B597" s="30"/>
      <c r="C597" s="30"/>
      <c r="D597" s="31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  <c r="AL597" s="30"/>
      <c r="AM597" s="30"/>
      <c r="AN597" s="30"/>
      <c r="AO597" s="30"/>
      <c r="AP597" s="30"/>
      <c r="AQ597" s="30"/>
      <c r="AR597" s="30"/>
      <c r="AS597" s="30"/>
    </row>
    <row r="598" customFormat="false" ht="15.75" hidden="false" customHeight="false" outlineLevel="0" collapsed="false">
      <c r="A598" s="30"/>
      <c r="B598" s="30"/>
      <c r="C598" s="30"/>
      <c r="D598" s="31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  <c r="AL598" s="30"/>
      <c r="AM598" s="30"/>
      <c r="AN598" s="30"/>
      <c r="AO598" s="30"/>
      <c r="AP598" s="30"/>
      <c r="AQ598" s="30"/>
      <c r="AR598" s="30"/>
      <c r="AS598" s="30"/>
    </row>
    <row r="599" customFormat="false" ht="15.75" hidden="false" customHeight="false" outlineLevel="0" collapsed="false">
      <c r="A599" s="30"/>
      <c r="B599" s="30"/>
      <c r="C599" s="30"/>
      <c r="D599" s="31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  <c r="AL599" s="30"/>
      <c r="AM599" s="30"/>
      <c r="AN599" s="30"/>
      <c r="AO599" s="30"/>
      <c r="AP599" s="30"/>
      <c r="AQ599" s="30"/>
      <c r="AR599" s="30"/>
      <c r="AS599" s="30"/>
    </row>
    <row r="600" customFormat="false" ht="15.75" hidden="false" customHeight="false" outlineLevel="0" collapsed="false">
      <c r="A600" s="30"/>
      <c r="B600" s="30"/>
      <c r="C600" s="30"/>
      <c r="D600" s="31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  <c r="AL600" s="30"/>
      <c r="AM600" s="30"/>
      <c r="AN600" s="30"/>
      <c r="AO600" s="30"/>
      <c r="AP600" s="30"/>
      <c r="AQ600" s="30"/>
      <c r="AR600" s="30"/>
      <c r="AS600" s="30"/>
    </row>
    <row r="601" customFormat="false" ht="15.75" hidden="false" customHeight="false" outlineLevel="0" collapsed="false">
      <c r="A601" s="30"/>
      <c r="B601" s="30"/>
      <c r="C601" s="30"/>
      <c r="D601" s="31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  <c r="AL601" s="30"/>
      <c r="AM601" s="30"/>
      <c r="AN601" s="30"/>
      <c r="AO601" s="30"/>
      <c r="AP601" s="30"/>
      <c r="AQ601" s="30"/>
      <c r="AR601" s="30"/>
      <c r="AS601" s="30"/>
    </row>
    <row r="602" customFormat="false" ht="15.75" hidden="false" customHeight="false" outlineLevel="0" collapsed="false">
      <c r="A602" s="30"/>
      <c r="B602" s="30"/>
      <c r="C602" s="30"/>
      <c r="D602" s="31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  <c r="AL602" s="30"/>
      <c r="AM602" s="30"/>
      <c r="AN602" s="30"/>
      <c r="AO602" s="30"/>
      <c r="AP602" s="30"/>
      <c r="AQ602" s="30"/>
      <c r="AR602" s="30"/>
      <c r="AS602" s="30"/>
    </row>
    <row r="603" customFormat="false" ht="15.75" hidden="false" customHeight="false" outlineLevel="0" collapsed="false">
      <c r="A603" s="30"/>
      <c r="B603" s="30"/>
      <c r="C603" s="30"/>
      <c r="D603" s="31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  <c r="AL603" s="30"/>
      <c r="AM603" s="30"/>
      <c r="AN603" s="30"/>
      <c r="AO603" s="30"/>
      <c r="AP603" s="30"/>
      <c r="AQ603" s="30"/>
      <c r="AR603" s="30"/>
      <c r="AS603" s="30"/>
    </row>
    <row r="604" customFormat="false" ht="15.75" hidden="false" customHeight="false" outlineLevel="0" collapsed="false">
      <c r="A604" s="30"/>
      <c r="B604" s="30"/>
      <c r="C604" s="30"/>
      <c r="D604" s="31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  <c r="AL604" s="30"/>
      <c r="AM604" s="30"/>
      <c r="AN604" s="30"/>
      <c r="AO604" s="30"/>
      <c r="AP604" s="30"/>
      <c r="AQ604" s="30"/>
      <c r="AR604" s="30"/>
      <c r="AS604" s="30"/>
    </row>
    <row r="605" customFormat="false" ht="15.75" hidden="false" customHeight="false" outlineLevel="0" collapsed="false">
      <c r="A605" s="30"/>
      <c r="B605" s="30"/>
      <c r="C605" s="30"/>
      <c r="D605" s="31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  <c r="AL605" s="30"/>
      <c r="AM605" s="30"/>
      <c r="AN605" s="30"/>
      <c r="AO605" s="30"/>
      <c r="AP605" s="30"/>
      <c r="AQ605" s="30"/>
      <c r="AR605" s="30"/>
      <c r="AS605" s="30"/>
    </row>
    <row r="606" customFormat="false" ht="15.75" hidden="false" customHeight="false" outlineLevel="0" collapsed="false">
      <c r="A606" s="30"/>
      <c r="B606" s="30"/>
      <c r="C606" s="30"/>
      <c r="D606" s="31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  <c r="AL606" s="30"/>
      <c r="AM606" s="30"/>
      <c r="AN606" s="30"/>
      <c r="AO606" s="30"/>
      <c r="AP606" s="30"/>
      <c r="AQ606" s="30"/>
      <c r="AR606" s="30"/>
      <c r="AS606" s="30"/>
    </row>
    <row r="607" customFormat="false" ht="15.75" hidden="false" customHeight="false" outlineLevel="0" collapsed="false">
      <c r="A607" s="30"/>
      <c r="B607" s="30"/>
      <c r="C607" s="30"/>
      <c r="D607" s="31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  <c r="AL607" s="30"/>
      <c r="AM607" s="30"/>
      <c r="AN607" s="30"/>
      <c r="AO607" s="30"/>
      <c r="AP607" s="30"/>
      <c r="AQ607" s="30"/>
      <c r="AR607" s="30"/>
      <c r="AS607" s="30"/>
    </row>
    <row r="608" customFormat="false" ht="15.75" hidden="false" customHeight="false" outlineLevel="0" collapsed="false">
      <c r="A608" s="30"/>
      <c r="B608" s="30"/>
      <c r="C608" s="30"/>
      <c r="D608" s="31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  <c r="AL608" s="30"/>
      <c r="AM608" s="30"/>
      <c r="AN608" s="30"/>
      <c r="AO608" s="30"/>
      <c r="AP608" s="30"/>
      <c r="AQ608" s="30"/>
      <c r="AR608" s="30"/>
      <c r="AS608" s="30"/>
    </row>
    <row r="609" customFormat="false" ht="15.75" hidden="false" customHeight="false" outlineLevel="0" collapsed="false">
      <c r="A609" s="30"/>
      <c r="B609" s="30"/>
      <c r="C609" s="30"/>
      <c r="D609" s="31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  <c r="AL609" s="30"/>
      <c r="AM609" s="30"/>
      <c r="AN609" s="30"/>
      <c r="AO609" s="30"/>
      <c r="AP609" s="30"/>
      <c r="AQ609" s="30"/>
      <c r="AR609" s="30"/>
      <c r="AS609" s="30"/>
    </row>
    <row r="610" customFormat="false" ht="15.75" hidden="false" customHeight="false" outlineLevel="0" collapsed="false">
      <c r="A610" s="30"/>
      <c r="B610" s="30"/>
      <c r="C610" s="30"/>
      <c r="D610" s="31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  <c r="AL610" s="30"/>
      <c r="AM610" s="30"/>
      <c r="AN610" s="30"/>
      <c r="AO610" s="30"/>
      <c r="AP610" s="30"/>
      <c r="AQ610" s="30"/>
      <c r="AR610" s="30"/>
      <c r="AS610" s="30"/>
    </row>
    <row r="611" customFormat="false" ht="15.75" hidden="false" customHeight="false" outlineLevel="0" collapsed="false">
      <c r="A611" s="30"/>
      <c r="B611" s="30"/>
      <c r="C611" s="30"/>
      <c r="D611" s="31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  <c r="AL611" s="30"/>
      <c r="AM611" s="30"/>
      <c r="AN611" s="30"/>
      <c r="AO611" s="30"/>
      <c r="AP611" s="30"/>
      <c r="AQ611" s="30"/>
      <c r="AR611" s="30"/>
      <c r="AS611" s="30"/>
    </row>
    <row r="612" customFormat="false" ht="15.75" hidden="false" customHeight="false" outlineLevel="0" collapsed="false">
      <c r="A612" s="30"/>
      <c r="B612" s="30"/>
      <c r="C612" s="30"/>
      <c r="D612" s="31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  <c r="AL612" s="30"/>
      <c r="AM612" s="30"/>
      <c r="AN612" s="30"/>
      <c r="AO612" s="30"/>
      <c r="AP612" s="30"/>
      <c r="AQ612" s="30"/>
      <c r="AR612" s="30"/>
      <c r="AS612" s="30"/>
    </row>
    <row r="613" customFormat="false" ht="15.75" hidden="false" customHeight="false" outlineLevel="0" collapsed="false">
      <c r="A613" s="30"/>
      <c r="B613" s="30"/>
      <c r="C613" s="30"/>
      <c r="D613" s="31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  <c r="AL613" s="30"/>
      <c r="AM613" s="30"/>
      <c r="AN613" s="30"/>
      <c r="AO613" s="30"/>
      <c r="AP613" s="30"/>
      <c r="AQ613" s="30"/>
      <c r="AR613" s="30"/>
      <c r="AS613" s="30"/>
    </row>
    <row r="614" customFormat="false" ht="15.75" hidden="false" customHeight="false" outlineLevel="0" collapsed="false">
      <c r="A614" s="30"/>
      <c r="B614" s="30"/>
      <c r="C614" s="30"/>
      <c r="D614" s="31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  <c r="AL614" s="30"/>
      <c r="AM614" s="30"/>
      <c r="AN614" s="30"/>
      <c r="AO614" s="30"/>
      <c r="AP614" s="30"/>
      <c r="AQ614" s="30"/>
      <c r="AR614" s="30"/>
      <c r="AS614" s="30"/>
    </row>
    <row r="615" customFormat="false" ht="15.75" hidden="false" customHeight="false" outlineLevel="0" collapsed="false">
      <c r="A615" s="30"/>
      <c r="B615" s="30"/>
      <c r="C615" s="30"/>
      <c r="D615" s="31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  <c r="AL615" s="30"/>
      <c r="AM615" s="30"/>
      <c r="AN615" s="30"/>
      <c r="AO615" s="30"/>
      <c r="AP615" s="30"/>
      <c r="AQ615" s="30"/>
      <c r="AR615" s="30"/>
      <c r="AS615" s="30"/>
    </row>
    <row r="616" customFormat="false" ht="15.75" hidden="false" customHeight="false" outlineLevel="0" collapsed="false">
      <c r="A616" s="30"/>
      <c r="B616" s="30"/>
      <c r="C616" s="30"/>
      <c r="D616" s="31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30"/>
      <c r="AM616" s="30"/>
      <c r="AN616" s="30"/>
      <c r="AO616" s="30"/>
      <c r="AP616" s="30"/>
      <c r="AQ616" s="30"/>
      <c r="AR616" s="30"/>
      <c r="AS616" s="30"/>
    </row>
    <row r="617" customFormat="false" ht="15.75" hidden="false" customHeight="false" outlineLevel="0" collapsed="false">
      <c r="A617" s="30"/>
      <c r="B617" s="30"/>
      <c r="C617" s="30"/>
      <c r="D617" s="31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  <c r="AL617" s="30"/>
      <c r="AM617" s="30"/>
      <c r="AN617" s="30"/>
      <c r="AO617" s="30"/>
      <c r="AP617" s="30"/>
      <c r="AQ617" s="30"/>
      <c r="AR617" s="30"/>
      <c r="AS617" s="30"/>
    </row>
    <row r="618" customFormat="false" ht="15.75" hidden="false" customHeight="false" outlineLevel="0" collapsed="false">
      <c r="A618" s="30"/>
      <c r="B618" s="30"/>
      <c r="C618" s="30"/>
      <c r="D618" s="31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  <c r="AL618" s="30"/>
      <c r="AM618" s="30"/>
      <c r="AN618" s="30"/>
      <c r="AO618" s="30"/>
      <c r="AP618" s="30"/>
      <c r="AQ618" s="30"/>
      <c r="AR618" s="30"/>
      <c r="AS618" s="30"/>
    </row>
    <row r="619" customFormat="false" ht="15.75" hidden="false" customHeight="false" outlineLevel="0" collapsed="false">
      <c r="A619" s="30"/>
      <c r="B619" s="30"/>
      <c r="C619" s="30"/>
      <c r="D619" s="31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  <c r="AL619" s="30"/>
      <c r="AM619" s="30"/>
      <c r="AN619" s="30"/>
      <c r="AO619" s="30"/>
      <c r="AP619" s="30"/>
      <c r="AQ619" s="30"/>
      <c r="AR619" s="30"/>
      <c r="AS619" s="30"/>
    </row>
    <row r="620" customFormat="false" ht="15.75" hidden="false" customHeight="false" outlineLevel="0" collapsed="false">
      <c r="A620" s="30"/>
      <c r="B620" s="30"/>
      <c r="C620" s="30"/>
      <c r="D620" s="31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  <c r="AL620" s="30"/>
      <c r="AM620" s="30"/>
      <c r="AN620" s="30"/>
      <c r="AO620" s="30"/>
      <c r="AP620" s="30"/>
      <c r="AQ620" s="30"/>
      <c r="AR620" s="30"/>
      <c r="AS620" s="30"/>
    </row>
    <row r="621" customFormat="false" ht="15.75" hidden="false" customHeight="false" outlineLevel="0" collapsed="false">
      <c r="A621" s="30"/>
      <c r="B621" s="30"/>
      <c r="C621" s="30"/>
      <c r="D621" s="31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  <c r="AL621" s="30"/>
      <c r="AM621" s="30"/>
      <c r="AN621" s="30"/>
      <c r="AO621" s="30"/>
      <c r="AP621" s="30"/>
      <c r="AQ621" s="30"/>
      <c r="AR621" s="30"/>
      <c r="AS621" s="30"/>
    </row>
    <row r="622" customFormat="false" ht="15.75" hidden="false" customHeight="false" outlineLevel="0" collapsed="false">
      <c r="A622" s="30"/>
      <c r="B622" s="30"/>
      <c r="C622" s="30"/>
      <c r="D622" s="31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  <c r="AL622" s="30"/>
      <c r="AM622" s="30"/>
      <c r="AN622" s="30"/>
      <c r="AO622" s="30"/>
      <c r="AP622" s="30"/>
      <c r="AQ622" s="30"/>
      <c r="AR622" s="30"/>
      <c r="AS622" s="30"/>
    </row>
    <row r="623" customFormat="false" ht="15.75" hidden="false" customHeight="false" outlineLevel="0" collapsed="false">
      <c r="A623" s="30"/>
      <c r="B623" s="30"/>
      <c r="C623" s="30"/>
      <c r="D623" s="31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  <c r="AL623" s="30"/>
      <c r="AM623" s="30"/>
      <c r="AN623" s="30"/>
      <c r="AO623" s="30"/>
      <c r="AP623" s="30"/>
      <c r="AQ623" s="30"/>
      <c r="AR623" s="30"/>
      <c r="AS623" s="30"/>
    </row>
    <row r="624" customFormat="false" ht="15.75" hidden="false" customHeight="false" outlineLevel="0" collapsed="false">
      <c r="A624" s="30"/>
      <c r="B624" s="30"/>
      <c r="C624" s="30"/>
      <c r="D624" s="31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  <c r="AL624" s="30"/>
      <c r="AM624" s="30"/>
      <c r="AN624" s="30"/>
      <c r="AO624" s="30"/>
      <c r="AP624" s="30"/>
      <c r="AQ624" s="30"/>
      <c r="AR624" s="30"/>
      <c r="AS624" s="30"/>
    </row>
    <row r="625" customFormat="false" ht="15.75" hidden="false" customHeight="false" outlineLevel="0" collapsed="false">
      <c r="A625" s="30"/>
      <c r="B625" s="30"/>
      <c r="C625" s="30"/>
      <c r="D625" s="31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  <c r="AL625" s="30"/>
      <c r="AM625" s="30"/>
      <c r="AN625" s="30"/>
      <c r="AO625" s="30"/>
      <c r="AP625" s="30"/>
      <c r="AQ625" s="30"/>
      <c r="AR625" s="30"/>
      <c r="AS625" s="30"/>
    </row>
    <row r="626" customFormat="false" ht="15.75" hidden="false" customHeight="false" outlineLevel="0" collapsed="false">
      <c r="A626" s="30"/>
      <c r="B626" s="30"/>
      <c r="C626" s="30"/>
      <c r="D626" s="31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  <c r="AL626" s="30"/>
      <c r="AM626" s="30"/>
      <c r="AN626" s="30"/>
      <c r="AO626" s="30"/>
      <c r="AP626" s="30"/>
      <c r="AQ626" s="30"/>
      <c r="AR626" s="30"/>
      <c r="AS626" s="30"/>
    </row>
    <row r="627" customFormat="false" ht="15.75" hidden="false" customHeight="false" outlineLevel="0" collapsed="false">
      <c r="A627" s="30"/>
      <c r="B627" s="30"/>
      <c r="C627" s="30"/>
      <c r="D627" s="31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  <c r="AL627" s="30"/>
      <c r="AM627" s="30"/>
      <c r="AN627" s="30"/>
      <c r="AO627" s="30"/>
      <c r="AP627" s="30"/>
      <c r="AQ627" s="30"/>
      <c r="AR627" s="30"/>
      <c r="AS627" s="30"/>
    </row>
    <row r="628" customFormat="false" ht="15.75" hidden="false" customHeight="false" outlineLevel="0" collapsed="false">
      <c r="A628" s="30"/>
      <c r="B628" s="30"/>
      <c r="C628" s="30"/>
      <c r="D628" s="31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  <c r="AL628" s="30"/>
      <c r="AM628" s="30"/>
      <c r="AN628" s="30"/>
      <c r="AO628" s="30"/>
      <c r="AP628" s="30"/>
      <c r="AQ628" s="30"/>
      <c r="AR628" s="30"/>
      <c r="AS628" s="30"/>
    </row>
    <row r="629" customFormat="false" ht="15.75" hidden="false" customHeight="false" outlineLevel="0" collapsed="false">
      <c r="A629" s="30"/>
      <c r="B629" s="30"/>
      <c r="C629" s="30"/>
      <c r="D629" s="31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  <c r="AL629" s="30"/>
      <c r="AM629" s="30"/>
      <c r="AN629" s="30"/>
      <c r="AO629" s="30"/>
      <c r="AP629" s="30"/>
      <c r="AQ629" s="30"/>
      <c r="AR629" s="30"/>
      <c r="AS629" s="30"/>
    </row>
    <row r="630" customFormat="false" ht="15.75" hidden="false" customHeight="false" outlineLevel="0" collapsed="false">
      <c r="A630" s="30"/>
      <c r="B630" s="30"/>
      <c r="C630" s="30"/>
      <c r="D630" s="31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  <c r="AL630" s="30"/>
      <c r="AM630" s="30"/>
      <c r="AN630" s="30"/>
      <c r="AO630" s="30"/>
      <c r="AP630" s="30"/>
      <c r="AQ630" s="30"/>
      <c r="AR630" s="30"/>
      <c r="AS630" s="30"/>
    </row>
    <row r="631" customFormat="false" ht="15.75" hidden="false" customHeight="false" outlineLevel="0" collapsed="false">
      <c r="A631" s="30"/>
      <c r="B631" s="30"/>
      <c r="C631" s="30"/>
      <c r="D631" s="31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  <c r="AL631" s="30"/>
      <c r="AM631" s="30"/>
      <c r="AN631" s="30"/>
      <c r="AO631" s="30"/>
      <c r="AP631" s="30"/>
      <c r="AQ631" s="30"/>
      <c r="AR631" s="30"/>
      <c r="AS631" s="30"/>
    </row>
    <row r="632" customFormat="false" ht="15.75" hidden="false" customHeight="false" outlineLevel="0" collapsed="false">
      <c r="A632" s="30"/>
      <c r="B632" s="30"/>
      <c r="C632" s="30"/>
      <c r="D632" s="31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  <c r="AL632" s="30"/>
      <c r="AM632" s="30"/>
      <c r="AN632" s="30"/>
      <c r="AO632" s="30"/>
      <c r="AP632" s="30"/>
      <c r="AQ632" s="30"/>
      <c r="AR632" s="30"/>
      <c r="AS632" s="30"/>
    </row>
    <row r="633" customFormat="false" ht="15.75" hidden="false" customHeight="false" outlineLevel="0" collapsed="false">
      <c r="A633" s="30"/>
      <c r="B633" s="30"/>
      <c r="C633" s="30"/>
      <c r="D633" s="31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  <c r="AL633" s="30"/>
      <c r="AM633" s="30"/>
      <c r="AN633" s="30"/>
      <c r="AO633" s="30"/>
      <c r="AP633" s="30"/>
      <c r="AQ633" s="30"/>
      <c r="AR633" s="30"/>
      <c r="AS633" s="30"/>
    </row>
    <row r="634" customFormat="false" ht="15.75" hidden="false" customHeight="false" outlineLevel="0" collapsed="false">
      <c r="A634" s="30"/>
      <c r="B634" s="30"/>
      <c r="C634" s="30"/>
      <c r="D634" s="31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  <c r="AL634" s="30"/>
      <c r="AM634" s="30"/>
      <c r="AN634" s="30"/>
      <c r="AO634" s="30"/>
      <c r="AP634" s="30"/>
      <c r="AQ634" s="30"/>
      <c r="AR634" s="30"/>
      <c r="AS634" s="30"/>
    </row>
    <row r="635" customFormat="false" ht="15.75" hidden="false" customHeight="false" outlineLevel="0" collapsed="false">
      <c r="A635" s="30"/>
      <c r="B635" s="30"/>
      <c r="C635" s="30"/>
      <c r="D635" s="31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  <c r="AL635" s="30"/>
      <c r="AM635" s="30"/>
      <c r="AN635" s="30"/>
      <c r="AO635" s="30"/>
      <c r="AP635" s="30"/>
      <c r="AQ635" s="30"/>
      <c r="AR635" s="30"/>
      <c r="AS635" s="30"/>
    </row>
    <row r="636" customFormat="false" ht="15.75" hidden="false" customHeight="false" outlineLevel="0" collapsed="false">
      <c r="A636" s="30"/>
      <c r="B636" s="30"/>
      <c r="C636" s="30"/>
      <c r="D636" s="31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  <c r="AL636" s="30"/>
      <c r="AM636" s="30"/>
      <c r="AN636" s="30"/>
      <c r="AO636" s="30"/>
      <c r="AP636" s="30"/>
      <c r="AQ636" s="30"/>
      <c r="AR636" s="30"/>
      <c r="AS636" s="30"/>
    </row>
    <row r="637" customFormat="false" ht="15.75" hidden="false" customHeight="false" outlineLevel="0" collapsed="false">
      <c r="A637" s="30"/>
      <c r="B637" s="30"/>
      <c r="C637" s="30"/>
      <c r="D637" s="31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  <c r="AL637" s="30"/>
      <c r="AM637" s="30"/>
      <c r="AN637" s="30"/>
      <c r="AO637" s="30"/>
      <c r="AP637" s="30"/>
      <c r="AQ637" s="30"/>
      <c r="AR637" s="30"/>
      <c r="AS637" s="30"/>
    </row>
    <row r="638" customFormat="false" ht="15.75" hidden="false" customHeight="false" outlineLevel="0" collapsed="false">
      <c r="A638" s="30"/>
      <c r="B638" s="30"/>
      <c r="C638" s="30"/>
      <c r="D638" s="31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  <c r="AL638" s="30"/>
      <c r="AM638" s="30"/>
      <c r="AN638" s="30"/>
      <c r="AO638" s="30"/>
      <c r="AP638" s="30"/>
      <c r="AQ638" s="30"/>
      <c r="AR638" s="30"/>
      <c r="AS638" s="30"/>
    </row>
    <row r="639" customFormat="false" ht="15.75" hidden="false" customHeight="false" outlineLevel="0" collapsed="false">
      <c r="A639" s="30"/>
      <c r="B639" s="30"/>
      <c r="C639" s="30"/>
      <c r="D639" s="31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  <c r="AL639" s="30"/>
      <c r="AM639" s="30"/>
      <c r="AN639" s="30"/>
      <c r="AO639" s="30"/>
      <c r="AP639" s="30"/>
      <c r="AQ639" s="30"/>
      <c r="AR639" s="30"/>
      <c r="AS639" s="30"/>
    </row>
    <row r="640" customFormat="false" ht="15.75" hidden="false" customHeight="false" outlineLevel="0" collapsed="false">
      <c r="A640" s="30"/>
      <c r="B640" s="30"/>
      <c r="C640" s="30"/>
      <c r="D640" s="31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  <c r="AL640" s="30"/>
      <c r="AM640" s="30"/>
      <c r="AN640" s="30"/>
      <c r="AO640" s="30"/>
      <c r="AP640" s="30"/>
      <c r="AQ640" s="30"/>
      <c r="AR640" s="30"/>
      <c r="AS640" s="30"/>
    </row>
    <row r="641" customFormat="false" ht="15.75" hidden="false" customHeight="false" outlineLevel="0" collapsed="false">
      <c r="A641" s="30"/>
      <c r="B641" s="30"/>
      <c r="C641" s="30"/>
      <c r="D641" s="31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  <c r="AL641" s="30"/>
      <c r="AM641" s="30"/>
      <c r="AN641" s="30"/>
      <c r="AO641" s="30"/>
      <c r="AP641" s="30"/>
      <c r="AQ641" s="30"/>
      <c r="AR641" s="30"/>
      <c r="AS641" s="30"/>
    </row>
    <row r="642" customFormat="false" ht="15.75" hidden="false" customHeight="false" outlineLevel="0" collapsed="false">
      <c r="A642" s="30"/>
      <c r="B642" s="30"/>
      <c r="C642" s="30"/>
      <c r="D642" s="31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  <c r="AL642" s="30"/>
      <c r="AM642" s="30"/>
      <c r="AN642" s="30"/>
      <c r="AO642" s="30"/>
      <c r="AP642" s="30"/>
      <c r="AQ642" s="30"/>
      <c r="AR642" s="30"/>
      <c r="AS642" s="30"/>
    </row>
    <row r="643" customFormat="false" ht="15.75" hidden="false" customHeight="false" outlineLevel="0" collapsed="false">
      <c r="A643" s="30"/>
      <c r="B643" s="30"/>
      <c r="C643" s="30"/>
      <c r="D643" s="31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  <c r="AL643" s="30"/>
      <c r="AM643" s="30"/>
      <c r="AN643" s="30"/>
      <c r="AO643" s="30"/>
      <c r="AP643" s="30"/>
      <c r="AQ643" s="30"/>
      <c r="AR643" s="30"/>
      <c r="AS643" s="30"/>
    </row>
    <row r="644" customFormat="false" ht="15.75" hidden="false" customHeight="false" outlineLevel="0" collapsed="false">
      <c r="A644" s="30"/>
      <c r="B644" s="30"/>
      <c r="C644" s="30"/>
      <c r="D644" s="31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  <c r="AL644" s="30"/>
      <c r="AM644" s="30"/>
      <c r="AN644" s="30"/>
      <c r="AO644" s="30"/>
      <c r="AP644" s="30"/>
      <c r="AQ644" s="30"/>
      <c r="AR644" s="30"/>
      <c r="AS644" s="30"/>
    </row>
    <row r="645" customFormat="false" ht="15.75" hidden="false" customHeight="false" outlineLevel="0" collapsed="false">
      <c r="A645" s="30"/>
      <c r="B645" s="30"/>
      <c r="C645" s="30"/>
      <c r="D645" s="31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  <c r="AL645" s="30"/>
      <c r="AM645" s="30"/>
      <c r="AN645" s="30"/>
      <c r="AO645" s="30"/>
      <c r="AP645" s="30"/>
      <c r="AQ645" s="30"/>
      <c r="AR645" s="30"/>
      <c r="AS645" s="30"/>
    </row>
    <row r="646" customFormat="false" ht="15.75" hidden="false" customHeight="false" outlineLevel="0" collapsed="false">
      <c r="A646" s="30"/>
      <c r="B646" s="30"/>
      <c r="C646" s="30"/>
      <c r="D646" s="31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  <c r="AL646" s="30"/>
      <c r="AM646" s="30"/>
      <c r="AN646" s="30"/>
      <c r="AO646" s="30"/>
      <c r="AP646" s="30"/>
      <c r="AQ646" s="30"/>
      <c r="AR646" s="30"/>
      <c r="AS646" s="30"/>
    </row>
    <row r="647" customFormat="false" ht="15.75" hidden="false" customHeight="false" outlineLevel="0" collapsed="false">
      <c r="A647" s="30"/>
      <c r="B647" s="30"/>
      <c r="C647" s="30"/>
      <c r="D647" s="31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  <c r="AL647" s="30"/>
      <c r="AM647" s="30"/>
      <c r="AN647" s="30"/>
      <c r="AO647" s="30"/>
      <c r="AP647" s="30"/>
      <c r="AQ647" s="30"/>
      <c r="AR647" s="30"/>
      <c r="AS647" s="30"/>
    </row>
    <row r="648" customFormat="false" ht="15.75" hidden="false" customHeight="false" outlineLevel="0" collapsed="false">
      <c r="A648" s="30"/>
      <c r="B648" s="30"/>
      <c r="C648" s="30"/>
      <c r="D648" s="31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  <c r="AL648" s="30"/>
      <c r="AM648" s="30"/>
      <c r="AN648" s="30"/>
      <c r="AO648" s="30"/>
      <c r="AP648" s="30"/>
      <c r="AQ648" s="30"/>
      <c r="AR648" s="30"/>
      <c r="AS648" s="30"/>
    </row>
    <row r="649" customFormat="false" ht="15.75" hidden="false" customHeight="false" outlineLevel="0" collapsed="false">
      <c r="A649" s="30"/>
      <c r="B649" s="30"/>
      <c r="C649" s="30"/>
      <c r="D649" s="31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  <c r="AL649" s="30"/>
      <c r="AM649" s="30"/>
      <c r="AN649" s="30"/>
      <c r="AO649" s="30"/>
      <c r="AP649" s="30"/>
      <c r="AQ649" s="30"/>
      <c r="AR649" s="30"/>
      <c r="AS649" s="30"/>
    </row>
    <row r="650" customFormat="false" ht="15.75" hidden="false" customHeight="false" outlineLevel="0" collapsed="false">
      <c r="A650" s="30"/>
      <c r="B650" s="30"/>
      <c r="C650" s="30"/>
      <c r="D650" s="31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  <c r="AL650" s="30"/>
      <c r="AM650" s="30"/>
      <c r="AN650" s="30"/>
      <c r="AO650" s="30"/>
      <c r="AP650" s="30"/>
      <c r="AQ650" s="30"/>
      <c r="AR650" s="30"/>
      <c r="AS650" s="30"/>
    </row>
    <row r="651" customFormat="false" ht="15.75" hidden="false" customHeight="false" outlineLevel="0" collapsed="false">
      <c r="A651" s="30"/>
      <c r="B651" s="30"/>
      <c r="C651" s="30"/>
      <c r="D651" s="31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  <c r="AL651" s="30"/>
      <c r="AM651" s="30"/>
      <c r="AN651" s="30"/>
      <c r="AO651" s="30"/>
      <c r="AP651" s="30"/>
      <c r="AQ651" s="30"/>
      <c r="AR651" s="30"/>
      <c r="AS651" s="30"/>
    </row>
    <row r="652" customFormat="false" ht="15.75" hidden="false" customHeight="false" outlineLevel="0" collapsed="false">
      <c r="A652" s="30"/>
      <c r="B652" s="30"/>
      <c r="C652" s="30"/>
      <c r="D652" s="31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  <c r="AL652" s="30"/>
      <c r="AM652" s="30"/>
      <c r="AN652" s="30"/>
      <c r="AO652" s="30"/>
      <c r="AP652" s="30"/>
      <c r="AQ652" s="30"/>
      <c r="AR652" s="30"/>
      <c r="AS652" s="30"/>
    </row>
    <row r="653" customFormat="false" ht="15.75" hidden="false" customHeight="false" outlineLevel="0" collapsed="false">
      <c r="A653" s="30"/>
      <c r="B653" s="30"/>
      <c r="C653" s="30"/>
      <c r="D653" s="31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  <c r="AL653" s="30"/>
      <c r="AM653" s="30"/>
      <c r="AN653" s="30"/>
      <c r="AO653" s="30"/>
      <c r="AP653" s="30"/>
      <c r="AQ653" s="30"/>
      <c r="AR653" s="30"/>
      <c r="AS653" s="30"/>
    </row>
    <row r="654" customFormat="false" ht="15.75" hidden="false" customHeight="false" outlineLevel="0" collapsed="false">
      <c r="A654" s="30"/>
      <c r="B654" s="30"/>
      <c r="C654" s="30"/>
      <c r="D654" s="31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  <c r="AL654" s="30"/>
      <c r="AM654" s="30"/>
      <c r="AN654" s="30"/>
      <c r="AO654" s="30"/>
      <c r="AP654" s="30"/>
      <c r="AQ654" s="30"/>
      <c r="AR654" s="30"/>
      <c r="AS654" s="30"/>
    </row>
    <row r="655" customFormat="false" ht="15.75" hidden="false" customHeight="false" outlineLevel="0" collapsed="false">
      <c r="A655" s="30"/>
      <c r="B655" s="30"/>
      <c r="C655" s="30"/>
      <c r="D655" s="31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  <c r="AL655" s="30"/>
      <c r="AM655" s="30"/>
      <c r="AN655" s="30"/>
      <c r="AO655" s="30"/>
      <c r="AP655" s="30"/>
      <c r="AQ655" s="30"/>
      <c r="AR655" s="30"/>
      <c r="AS655" s="30"/>
    </row>
    <row r="656" customFormat="false" ht="15.75" hidden="false" customHeight="false" outlineLevel="0" collapsed="false">
      <c r="A656" s="30"/>
      <c r="B656" s="30"/>
      <c r="C656" s="30"/>
      <c r="D656" s="31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  <c r="AL656" s="30"/>
      <c r="AM656" s="30"/>
      <c r="AN656" s="30"/>
      <c r="AO656" s="30"/>
      <c r="AP656" s="30"/>
      <c r="AQ656" s="30"/>
      <c r="AR656" s="30"/>
      <c r="AS656" s="30"/>
    </row>
    <row r="657" customFormat="false" ht="15.75" hidden="false" customHeight="false" outlineLevel="0" collapsed="false">
      <c r="A657" s="30"/>
      <c r="B657" s="30"/>
      <c r="C657" s="30"/>
      <c r="D657" s="31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  <c r="AL657" s="30"/>
      <c r="AM657" s="30"/>
      <c r="AN657" s="30"/>
      <c r="AO657" s="30"/>
      <c r="AP657" s="30"/>
      <c r="AQ657" s="30"/>
      <c r="AR657" s="30"/>
      <c r="AS657" s="30"/>
    </row>
    <row r="658" customFormat="false" ht="15.75" hidden="false" customHeight="false" outlineLevel="0" collapsed="false">
      <c r="A658" s="30"/>
      <c r="B658" s="30"/>
      <c r="C658" s="30"/>
      <c r="D658" s="31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  <c r="AL658" s="30"/>
      <c r="AM658" s="30"/>
      <c r="AN658" s="30"/>
      <c r="AO658" s="30"/>
      <c r="AP658" s="30"/>
      <c r="AQ658" s="30"/>
      <c r="AR658" s="30"/>
      <c r="AS658" s="30"/>
    </row>
    <row r="659" customFormat="false" ht="15.75" hidden="false" customHeight="false" outlineLevel="0" collapsed="false">
      <c r="A659" s="30"/>
      <c r="B659" s="30"/>
      <c r="C659" s="30"/>
      <c r="D659" s="31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  <c r="AL659" s="30"/>
      <c r="AM659" s="30"/>
      <c r="AN659" s="30"/>
      <c r="AO659" s="30"/>
      <c r="AP659" s="30"/>
      <c r="AQ659" s="30"/>
      <c r="AR659" s="30"/>
      <c r="AS659" s="30"/>
    </row>
    <row r="660" customFormat="false" ht="15.75" hidden="false" customHeight="false" outlineLevel="0" collapsed="false">
      <c r="A660" s="30"/>
      <c r="B660" s="30"/>
      <c r="C660" s="30"/>
      <c r="D660" s="31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  <c r="AL660" s="30"/>
      <c r="AM660" s="30"/>
      <c r="AN660" s="30"/>
      <c r="AO660" s="30"/>
      <c r="AP660" s="30"/>
      <c r="AQ660" s="30"/>
      <c r="AR660" s="30"/>
      <c r="AS660" s="30"/>
    </row>
    <row r="661" customFormat="false" ht="15.75" hidden="false" customHeight="false" outlineLevel="0" collapsed="false">
      <c r="A661" s="30"/>
      <c r="B661" s="30"/>
      <c r="C661" s="30"/>
      <c r="D661" s="31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  <c r="AL661" s="30"/>
      <c r="AM661" s="30"/>
      <c r="AN661" s="30"/>
      <c r="AO661" s="30"/>
      <c r="AP661" s="30"/>
      <c r="AQ661" s="30"/>
      <c r="AR661" s="30"/>
      <c r="AS661" s="30"/>
    </row>
    <row r="662" customFormat="false" ht="15.75" hidden="false" customHeight="false" outlineLevel="0" collapsed="false">
      <c r="A662" s="30"/>
      <c r="B662" s="30"/>
      <c r="C662" s="30"/>
      <c r="D662" s="31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  <c r="AL662" s="30"/>
      <c r="AM662" s="30"/>
      <c r="AN662" s="30"/>
      <c r="AO662" s="30"/>
      <c r="AP662" s="30"/>
      <c r="AQ662" s="30"/>
      <c r="AR662" s="30"/>
      <c r="AS662" s="30"/>
    </row>
    <row r="663" customFormat="false" ht="15.75" hidden="false" customHeight="false" outlineLevel="0" collapsed="false">
      <c r="A663" s="30"/>
      <c r="B663" s="30"/>
      <c r="C663" s="30"/>
      <c r="D663" s="31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  <c r="AL663" s="30"/>
      <c r="AM663" s="30"/>
      <c r="AN663" s="30"/>
      <c r="AO663" s="30"/>
      <c r="AP663" s="30"/>
      <c r="AQ663" s="30"/>
      <c r="AR663" s="30"/>
      <c r="AS663" s="30"/>
    </row>
    <row r="664" customFormat="false" ht="15.75" hidden="false" customHeight="false" outlineLevel="0" collapsed="false">
      <c r="A664" s="30"/>
      <c r="B664" s="30"/>
      <c r="C664" s="30"/>
      <c r="D664" s="31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  <c r="AL664" s="30"/>
      <c r="AM664" s="30"/>
      <c r="AN664" s="30"/>
      <c r="AO664" s="30"/>
      <c r="AP664" s="30"/>
      <c r="AQ664" s="30"/>
      <c r="AR664" s="30"/>
      <c r="AS664" s="30"/>
    </row>
    <row r="665" customFormat="false" ht="15.75" hidden="false" customHeight="false" outlineLevel="0" collapsed="false">
      <c r="A665" s="30"/>
      <c r="B665" s="30"/>
      <c r="C665" s="30"/>
      <c r="D665" s="31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  <c r="AL665" s="30"/>
      <c r="AM665" s="30"/>
      <c r="AN665" s="30"/>
      <c r="AO665" s="30"/>
      <c r="AP665" s="30"/>
      <c r="AQ665" s="30"/>
      <c r="AR665" s="30"/>
      <c r="AS665" s="30"/>
    </row>
    <row r="666" customFormat="false" ht="15.75" hidden="false" customHeight="false" outlineLevel="0" collapsed="false">
      <c r="A666" s="30"/>
      <c r="B666" s="30"/>
      <c r="C666" s="30"/>
      <c r="D666" s="31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  <c r="AL666" s="30"/>
      <c r="AM666" s="30"/>
      <c r="AN666" s="30"/>
      <c r="AO666" s="30"/>
      <c r="AP666" s="30"/>
      <c r="AQ666" s="30"/>
      <c r="AR666" s="30"/>
      <c r="AS666" s="30"/>
    </row>
    <row r="667" customFormat="false" ht="15.75" hidden="false" customHeight="false" outlineLevel="0" collapsed="false">
      <c r="A667" s="30"/>
      <c r="B667" s="30"/>
      <c r="C667" s="30"/>
      <c r="D667" s="31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  <c r="AL667" s="30"/>
      <c r="AM667" s="30"/>
      <c r="AN667" s="30"/>
      <c r="AO667" s="30"/>
      <c r="AP667" s="30"/>
      <c r="AQ667" s="30"/>
      <c r="AR667" s="30"/>
      <c r="AS667" s="30"/>
    </row>
    <row r="668" customFormat="false" ht="15.75" hidden="false" customHeight="false" outlineLevel="0" collapsed="false">
      <c r="A668" s="30"/>
      <c r="B668" s="30"/>
      <c r="C668" s="30"/>
      <c r="D668" s="31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  <c r="AL668" s="30"/>
      <c r="AM668" s="30"/>
      <c r="AN668" s="30"/>
      <c r="AO668" s="30"/>
      <c r="AP668" s="30"/>
      <c r="AQ668" s="30"/>
      <c r="AR668" s="30"/>
      <c r="AS668" s="30"/>
    </row>
    <row r="669" customFormat="false" ht="15.75" hidden="false" customHeight="false" outlineLevel="0" collapsed="false">
      <c r="A669" s="30"/>
      <c r="B669" s="30"/>
      <c r="C669" s="30"/>
      <c r="D669" s="31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  <c r="AL669" s="30"/>
      <c r="AM669" s="30"/>
      <c r="AN669" s="30"/>
      <c r="AO669" s="30"/>
      <c r="AP669" s="30"/>
      <c r="AQ669" s="30"/>
      <c r="AR669" s="30"/>
      <c r="AS669" s="30"/>
    </row>
    <row r="670" customFormat="false" ht="15.75" hidden="false" customHeight="false" outlineLevel="0" collapsed="false">
      <c r="A670" s="30"/>
      <c r="B670" s="30"/>
      <c r="C670" s="30"/>
      <c r="D670" s="31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  <c r="AL670" s="30"/>
      <c r="AM670" s="30"/>
      <c r="AN670" s="30"/>
      <c r="AO670" s="30"/>
      <c r="AP670" s="30"/>
      <c r="AQ670" s="30"/>
      <c r="AR670" s="30"/>
      <c r="AS670" s="30"/>
    </row>
    <row r="671" customFormat="false" ht="15.75" hidden="false" customHeight="false" outlineLevel="0" collapsed="false">
      <c r="A671" s="30"/>
      <c r="B671" s="30"/>
      <c r="C671" s="30"/>
      <c r="D671" s="31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  <c r="AL671" s="30"/>
      <c r="AM671" s="30"/>
      <c r="AN671" s="30"/>
      <c r="AO671" s="30"/>
      <c r="AP671" s="30"/>
      <c r="AQ671" s="30"/>
      <c r="AR671" s="30"/>
      <c r="AS671" s="30"/>
    </row>
    <row r="672" customFormat="false" ht="15.75" hidden="false" customHeight="false" outlineLevel="0" collapsed="false">
      <c r="A672" s="30"/>
      <c r="B672" s="30"/>
      <c r="C672" s="30"/>
      <c r="D672" s="31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  <c r="AL672" s="30"/>
      <c r="AM672" s="30"/>
      <c r="AN672" s="30"/>
      <c r="AO672" s="30"/>
      <c r="AP672" s="30"/>
      <c r="AQ672" s="30"/>
      <c r="AR672" s="30"/>
      <c r="AS672" s="30"/>
    </row>
    <row r="673" customFormat="false" ht="15.75" hidden="false" customHeight="false" outlineLevel="0" collapsed="false">
      <c r="A673" s="30"/>
      <c r="B673" s="30"/>
      <c r="C673" s="30"/>
      <c r="D673" s="31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  <c r="AL673" s="30"/>
      <c r="AM673" s="30"/>
      <c r="AN673" s="30"/>
      <c r="AO673" s="30"/>
      <c r="AP673" s="30"/>
      <c r="AQ673" s="30"/>
      <c r="AR673" s="30"/>
      <c r="AS673" s="30"/>
    </row>
    <row r="674" customFormat="false" ht="15.75" hidden="false" customHeight="false" outlineLevel="0" collapsed="false">
      <c r="A674" s="30"/>
      <c r="B674" s="30"/>
      <c r="C674" s="30"/>
      <c r="D674" s="31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  <c r="AL674" s="30"/>
      <c r="AM674" s="30"/>
      <c r="AN674" s="30"/>
      <c r="AO674" s="30"/>
      <c r="AP674" s="30"/>
      <c r="AQ674" s="30"/>
      <c r="AR674" s="30"/>
      <c r="AS674" s="30"/>
    </row>
    <row r="675" customFormat="false" ht="15.75" hidden="false" customHeight="false" outlineLevel="0" collapsed="false">
      <c r="A675" s="30"/>
      <c r="B675" s="30"/>
      <c r="C675" s="30"/>
      <c r="D675" s="31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  <c r="AL675" s="30"/>
      <c r="AM675" s="30"/>
      <c r="AN675" s="30"/>
      <c r="AO675" s="30"/>
      <c r="AP675" s="30"/>
      <c r="AQ675" s="30"/>
      <c r="AR675" s="30"/>
      <c r="AS675" s="30"/>
    </row>
    <row r="676" customFormat="false" ht="15.75" hidden="false" customHeight="false" outlineLevel="0" collapsed="false">
      <c r="A676" s="30"/>
      <c r="B676" s="30"/>
      <c r="C676" s="30"/>
      <c r="D676" s="31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  <c r="AL676" s="30"/>
      <c r="AM676" s="30"/>
      <c r="AN676" s="30"/>
      <c r="AO676" s="30"/>
      <c r="AP676" s="30"/>
      <c r="AQ676" s="30"/>
      <c r="AR676" s="30"/>
      <c r="AS676" s="30"/>
    </row>
    <row r="677" customFormat="false" ht="15.75" hidden="false" customHeight="false" outlineLevel="0" collapsed="false">
      <c r="A677" s="30"/>
      <c r="B677" s="30"/>
      <c r="C677" s="30"/>
      <c r="D677" s="31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  <c r="AL677" s="30"/>
      <c r="AM677" s="30"/>
      <c r="AN677" s="30"/>
      <c r="AO677" s="30"/>
      <c r="AP677" s="30"/>
      <c r="AQ677" s="30"/>
      <c r="AR677" s="30"/>
      <c r="AS677" s="30"/>
    </row>
    <row r="678" customFormat="false" ht="15.75" hidden="false" customHeight="false" outlineLevel="0" collapsed="false">
      <c r="A678" s="30"/>
      <c r="B678" s="30"/>
      <c r="C678" s="30"/>
      <c r="D678" s="31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  <c r="AL678" s="30"/>
      <c r="AM678" s="30"/>
      <c r="AN678" s="30"/>
      <c r="AO678" s="30"/>
      <c r="AP678" s="30"/>
      <c r="AQ678" s="30"/>
      <c r="AR678" s="30"/>
      <c r="AS678" s="30"/>
    </row>
    <row r="679" customFormat="false" ht="15.75" hidden="false" customHeight="false" outlineLevel="0" collapsed="false">
      <c r="A679" s="30"/>
      <c r="B679" s="30"/>
      <c r="C679" s="30"/>
      <c r="D679" s="31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  <c r="AL679" s="30"/>
      <c r="AM679" s="30"/>
      <c r="AN679" s="30"/>
      <c r="AO679" s="30"/>
      <c r="AP679" s="30"/>
      <c r="AQ679" s="30"/>
      <c r="AR679" s="30"/>
      <c r="AS679" s="30"/>
    </row>
    <row r="680" customFormat="false" ht="15.75" hidden="false" customHeight="false" outlineLevel="0" collapsed="false">
      <c r="A680" s="30"/>
      <c r="B680" s="30"/>
      <c r="C680" s="30"/>
      <c r="D680" s="31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  <c r="AL680" s="30"/>
      <c r="AM680" s="30"/>
      <c r="AN680" s="30"/>
      <c r="AO680" s="30"/>
      <c r="AP680" s="30"/>
      <c r="AQ680" s="30"/>
      <c r="AR680" s="30"/>
      <c r="AS680" s="30"/>
    </row>
    <row r="681" customFormat="false" ht="15.75" hidden="false" customHeight="false" outlineLevel="0" collapsed="false">
      <c r="A681" s="30"/>
      <c r="B681" s="30"/>
      <c r="C681" s="30"/>
      <c r="D681" s="31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  <c r="AL681" s="30"/>
      <c r="AM681" s="30"/>
      <c r="AN681" s="30"/>
      <c r="AO681" s="30"/>
      <c r="AP681" s="30"/>
      <c r="AQ681" s="30"/>
      <c r="AR681" s="30"/>
      <c r="AS681" s="30"/>
    </row>
    <row r="682" customFormat="false" ht="15.75" hidden="false" customHeight="false" outlineLevel="0" collapsed="false">
      <c r="A682" s="30"/>
      <c r="B682" s="30"/>
      <c r="C682" s="30"/>
      <c r="D682" s="31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  <c r="AL682" s="30"/>
      <c r="AM682" s="30"/>
      <c r="AN682" s="30"/>
      <c r="AO682" s="30"/>
      <c r="AP682" s="30"/>
      <c r="AQ682" s="30"/>
      <c r="AR682" s="30"/>
      <c r="AS682" s="30"/>
    </row>
    <row r="683" customFormat="false" ht="15.75" hidden="false" customHeight="false" outlineLevel="0" collapsed="false">
      <c r="A683" s="30"/>
      <c r="B683" s="30"/>
      <c r="C683" s="30"/>
      <c r="D683" s="31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  <c r="AL683" s="30"/>
      <c r="AM683" s="30"/>
      <c r="AN683" s="30"/>
      <c r="AO683" s="30"/>
      <c r="AP683" s="30"/>
      <c r="AQ683" s="30"/>
      <c r="AR683" s="30"/>
      <c r="AS683" s="30"/>
    </row>
    <row r="684" customFormat="false" ht="15.75" hidden="false" customHeight="false" outlineLevel="0" collapsed="false">
      <c r="A684" s="30"/>
      <c r="B684" s="30"/>
      <c r="C684" s="30"/>
      <c r="D684" s="31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  <c r="AL684" s="30"/>
      <c r="AM684" s="30"/>
      <c r="AN684" s="30"/>
      <c r="AO684" s="30"/>
      <c r="AP684" s="30"/>
      <c r="AQ684" s="30"/>
      <c r="AR684" s="30"/>
      <c r="AS684" s="30"/>
    </row>
    <row r="685" customFormat="false" ht="15.75" hidden="false" customHeight="false" outlineLevel="0" collapsed="false">
      <c r="A685" s="30"/>
      <c r="B685" s="30"/>
      <c r="C685" s="30"/>
      <c r="D685" s="31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  <c r="AL685" s="30"/>
      <c r="AM685" s="30"/>
      <c r="AN685" s="30"/>
      <c r="AO685" s="30"/>
      <c r="AP685" s="30"/>
      <c r="AQ685" s="30"/>
      <c r="AR685" s="30"/>
      <c r="AS685" s="30"/>
    </row>
    <row r="686" customFormat="false" ht="15.75" hidden="false" customHeight="false" outlineLevel="0" collapsed="false">
      <c r="A686" s="30"/>
      <c r="B686" s="30"/>
      <c r="C686" s="30"/>
      <c r="D686" s="31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  <c r="AL686" s="30"/>
      <c r="AM686" s="30"/>
      <c r="AN686" s="30"/>
      <c r="AO686" s="30"/>
      <c r="AP686" s="30"/>
      <c r="AQ686" s="30"/>
      <c r="AR686" s="30"/>
      <c r="AS686" s="30"/>
    </row>
    <row r="687" customFormat="false" ht="15.75" hidden="false" customHeight="false" outlineLevel="0" collapsed="false">
      <c r="A687" s="30"/>
      <c r="B687" s="30"/>
      <c r="C687" s="30"/>
      <c r="D687" s="31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  <c r="AL687" s="30"/>
      <c r="AM687" s="30"/>
      <c r="AN687" s="30"/>
      <c r="AO687" s="30"/>
      <c r="AP687" s="30"/>
      <c r="AQ687" s="30"/>
      <c r="AR687" s="30"/>
      <c r="AS687" s="30"/>
    </row>
    <row r="688" customFormat="false" ht="15.75" hidden="false" customHeight="false" outlineLevel="0" collapsed="false">
      <c r="A688" s="30"/>
      <c r="B688" s="30"/>
      <c r="C688" s="30"/>
      <c r="D688" s="31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  <c r="AL688" s="30"/>
      <c r="AM688" s="30"/>
      <c r="AN688" s="30"/>
      <c r="AO688" s="30"/>
      <c r="AP688" s="30"/>
      <c r="AQ688" s="30"/>
      <c r="AR688" s="30"/>
      <c r="AS688" s="30"/>
    </row>
    <row r="689" customFormat="false" ht="15.75" hidden="false" customHeight="false" outlineLevel="0" collapsed="false">
      <c r="A689" s="30"/>
      <c r="B689" s="30"/>
      <c r="C689" s="30"/>
      <c r="D689" s="31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  <c r="AL689" s="30"/>
      <c r="AM689" s="30"/>
      <c r="AN689" s="30"/>
      <c r="AO689" s="30"/>
      <c r="AP689" s="30"/>
      <c r="AQ689" s="30"/>
      <c r="AR689" s="30"/>
      <c r="AS689" s="30"/>
    </row>
    <row r="690" customFormat="false" ht="15.75" hidden="false" customHeight="false" outlineLevel="0" collapsed="false">
      <c r="A690" s="30"/>
      <c r="B690" s="30"/>
      <c r="C690" s="30"/>
      <c r="D690" s="31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  <c r="AL690" s="30"/>
      <c r="AM690" s="30"/>
      <c r="AN690" s="30"/>
      <c r="AO690" s="30"/>
      <c r="AP690" s="30"/>
      <c r="AQ690" s="30"/>
      <c r="AR690" s="30"/>
      <c r="AS690" s="30"/>
    </row>
    <row r="691" customFormat="false" ht="15.75" hidden="false" customHeight="false" outlineLevel="0" collapsed="false">
      <c r="A691" s="30"/>
      <c r="B691" s="30"/>
      <c r="C691" s="30"/>
      <c r="D691" s="31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  <c r="AL691" s="30"/>
      <c r="AM691" s="30"/>
      <c r="AN691" s="30"/>
      <c r="AO691" s="30"/>
      <c r="AP691" s="30"/>
      <c r="AQ691" s="30"/>
      <c r="AR691" s="30"/>
      <c r="AS691" s="30"/>
    </row>
    <row r="692" customFormat="false" ht="15.75" hidden="false" customHeight="false" outlineLevel="0" collapsed="false">
      <c r="A692" s="30"/>
      <c r="B692" s="30"/>
      <c r="C692" s="30"/>
      <c r="D692" s="31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  <c r="AL692" s="30"/>
      <c r="AM692" s="30"/>
      <c r="AN692" s="30"/>
      <c r="AO692" s="30"/>
      <c r="AP692" s="30"/>
      <c r="AQ692" s="30"/>
      <c r="AR692" s="30"/>
      <c r="AS692" s="30"/>
    </row>
    <row r="693" customFormat="false" ht="15.75" hidden="false" customHeight="false" outlineLevel="0" collapsed="false">
      <c r="A693" s="30"/>
      <c r="B693" s="30"/>
      <c r="C693" s="30"/>
      <c r="D693" s="31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  <c r="AL693" s="30"/>
      <c r="AM693" s="30"/>
      <c r="AN693" s="30"/>
      <c r="AO693" s="30"/>
      <c r="AP693" s="30"/>
      <c r="AQ693" s="30"/>
      <c r="AR693" s="30"/>
      <c r="AS693" s="30"/>
    </row>
    <row r="694" customFormat="false" ht="15.75" hidden="false" customHeight="false" outlineLevel="0" collapsed="false">
      <c r="A694" s="30"/>
      <c r="B694" s="30"/>
      <c r="C694" s="30"/>
      <c r="D694" s="31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  <c r="AL694" s="30"/>
      <c r="AM694" s="30"/>
      <c r="AN694" s="30"/>
      <c r="AO694" s="30"/>
      <c r="AP694" s="30"/>
      <c r="AQ694" s="30"/>
      <c r="AR694" s="30"/>
      <c r="AS694" s="30"/>
    </row>
    <row r="695" customFormat="false" ht="15.75" hidden="false" customHeight="false" outlineLevel="0" collapsed="false">
      <c r="A695" s="30"/>
      <c r="B695" s="30"/>
      <c r="C695" s="30"/>
      <c r="D695" s="31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  <c r="AL695" s="30"/>
      <c r="AM695" s="30"/>
      <c r="AN695" s="30"/>
      <c r="AO695" s="30"/>
      <c r="AP695" s="30"/>
      <c r="AQ695" s="30"/>
      <c r="AR695" s="30"/>
      <c r="AS695" s="30"/>
    </row>
    <row r="696" customFormat="false" ht="15.75" hidden="false" customHeight="false" outlineLevel="0" collapsed="false">
      <c r="A696" s="30"/>
      <c r="B696" s="30"/>
      <c r="C696" s="30"/>
      <c r="D696" s="31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  <c r="AL696" s="30"/>
      <c r="AM696" s="30"/>
      <c r="AN696" s="30"/>
      <c r="AO696" s="30"/>
      <c r="AP696" s="30"/>
      <c r="AQ696" s="30"/>
      <c r="AR696" s="30"/>
      <c r="AS696" s="30"/>
    </row>
    <row r="697" customFormat="false" ht="15.75" hidden="false" customHeight="false" outlineLevel="0" collapsed="false">
      <c r="A697" s="30"/>
      <c r="B697" s="30"/>
      <c r="C697" s="30"/>
      <c r="D697" s="31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  <c r="AL697" s="30"/>
      <c r="AM697" s="30"/>
      <c r="AN697" s="30"/>
      <c r="AO697" s="30"/>
      <c r="AP697" s="30"/>
      <c r="AQ697" s="30"/>
      <c r="AR697" s="30"/>
      <c r="AS697" s="30"/>
    </row>
    <row r="698" customFormat="false" ht="15.75" hidden="false" customHeight="false" outlineLevel="0" collapsed="false">
      <c r="A698" s="30"/>
      <c r="B698" s="30"/>
      <c r="C698" s="30"/>
      <c r="D698" s="31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  <c r="AL698" s="30"/>
      <c r="AM698" s="30"/>
      <c r="AN698" s="30"/>
      <c r="AO698" s="30"/>
      <c r="AP698" s="30"/>
      <c r="AQ698" s="30"/>
      <c r="AR698" s="30"/>
      <c r="AS698" s="30"/>
    </row>
    <row r="699" customFormat="false" ht="15.75" hidden="false" customHeight="false" outlineLevel="0" collapsed="false">
      <c r="A699" s="30"/>
      <c r="B699" s="30"/>
      <c r="C699" s="30"/>
      <c r="D699" s="31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  <c r="AL699" s="30"/>
      <c r="AM699" s="30"/>
      <c r="AN699" s="30"/>
      <c r="AO699" s="30"/>
      <c r="AP699" s="30"/>
      <c r="AQ699" s="30"/>
      <c r="AR699" s="30"/>
      <c r="AS699" s="30"/>
    </row>
    <row r="700" customFormat="false" ht="15.75" hidden="false" customHeight="false" outlineLevel="0" collapsed="false">
      <c r="A700" s="30"/>
      <c r="B700" s="30"/>
      <c r="C700" s="30"/>
      <c r="D700" s="31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  <c r="AL700" s="30"/>
      <c r="AM700" s="30"/>
      <c r="AN700" s="30"/>
      <c r="AO700" s="30"/>
      <c r="AP700" s="30"/>
      <c r="AQ700" s="30"/>
      <c r="AR700" s="30"/>
      <c r="AS700" s="30"/>
    </row>
    <row r="701" customFormat="false" ht="15.75" hidden="false" customHeight="false" outlineLevel="0" collapsed="false">
      <c r="A701" s="30"/>
      <c r="B701" s="30"/>
      <c r="C701" s="30"/>
      <c r="D701" s="31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  <c r="AL701" s="30"/>
      <c r="AM701" s="30"/>
      <c r="AN701" s="30"/>
      <c r="AO701" s="30"/>
      <c r="AP701" s="30"/>
      <c r="AQ701" s="30"/>
      <c r="AR701" s="30"/>
      <c r="AS701" s="30"/>
    </row>
    <row r="702" customFormat="false" ht="15.75" hidden="false" customHeight="false" outlineLevel="0" collapsed="false">
      <c r="A702" s="30"/>
      <c r="B702" s="30"/>
      <c r="C702" s="30"/>
      <c r="D702" s="31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  <c r="AL702" s="30"/>
      <c r="AM702" s="30"/>
      <c r="AN702" s="30"/>
      <c r="AO702" s="30"/>
      <c r="AP702" s="30"/>
      <c r="AQ702" s="30"/>
      <c r="AR702" s="30"/>
      <c r="AS702" s="30"/>
    </row>
    <row r="703" customFormat="false" ht="15.75" hidden="false" customHeight="false" outlineLevel="0" collapsed="false">
      <c r="A703" s="30"/>
      <c r="B703" s="30"/>
      <c r="C703" s="30"/>
      <c r="D703" s="31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  <c r="AL703" s="30"/>
      <c r="AM703" s="30"/>
      <c r="AN703" s="30"/>
      <c r="AO703" s="30"/>
      <c r="AP703" s="30"/>
      <c r="AQ703" s="30"/>
      <c r="AR703" s="30"/>
      <c r="AS703" s="30"/>
    </row>
    <row r="704" customFormat="false" ht="15.75" hidden="false" customHeight="false" outlineLevel="0" collapsed="false">
      <c r="A704" s="30"/>
      <c r="B704" s="30"/>
      <c r="C704" s="30"/>
      <c r="D704" s="31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  <c r="AL704" s="30"/>
      <c r="AM704" s="30"/>
      <c r="AN704" s="30"/>
      <c r="AO704" s="30"/>
      <c r="AP704" s="30"/>
      <c r="AQ704" s="30"/>
      <c r="AR704" s="30"/>
      <c r="AS704" s="30"/>
    </row>
    <row r="705" customFormat="false" ht="15.75" hidden="false" customHeight="false" outlineLevel="0" collapsed="false">
      <c r="A705" s="30"/>
      <c r="B705" s="30"/>
      <c r="C705" s="30"/>
      <c r="D705" s="31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  <c r="AL705" s="30"/>
      <c r="AM705" s="30"/>
      <c r="AN705" s="30"/>
      <c r="AO705" s="30"/>
      <c r="AP705" s="30"/>
      <c r="AQ705" s="30"/>
      <c r="AR705" s="30"/>
      <c r="AS705" s="30"/>
    </row>
    <row r="706" customFormat="false" ht="15.75" hidden="false" customHeight="false" outlineLevel="0" collapsed="false">
      <c r="A706" s="30"/>
      <c r="B706" s="30"/>
      <c r="C706" s="30"/>
      <c r="D706" s="31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  <c r="AL706" s="30"/>
      <c r="AM706" s="30"/>
      <c r="AN706" s="30"/>
      <c r="AO706" s="30"/>
      <c r="AP706" s="30"/>
      <c r="AQ706" s="30"/>
      <c r="AR706" s="30"/>
      <c r="AS706" s="30"/>
    </row>
    <row r="707" customFormat="false" ht="15.75" hidden="false" customHeight="false" outlineLevel="0" collapsed="false">
      <c r="A707" s="30"/>
      <c r="B707" s="30"/>
      <c r="C707" s="30"/>
      <c r="D707" s="31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  <c r="AL707" s="30"/>
      <c r="AM707" s="30"/>
      <c r="AN707" s="30"/>
      <c r="AO707" s="30"/>
      <c r="AP707" s="30"/>
      <c r="AQ707" s="30"/>
      <c r="AR707" s="30"/>
      <c r="AS707" s="30"/>
    </row>
    <row r="708" customFormat="false" ht="15.75" hidden="false" customHeight="false" outlineLevel="0" collapsed="false">
      <c r="A708" s="30"/>
      <c r="B708" s="30"/>
      <c r="C708" s="30"/>
      <c r="D708" s="31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  <c r="AL708" s="30"/>
      <c r="AM708" s="30"/>
      <c r="AN708" s="30"/>
      <c r="AO708" s="30"/>
      <c r="AP708" s="30"/>
      <c r="AQ708" s="30"/>
      <c r="AR708" s="30"/>
      <c r="AS708" s="30"/>
    </row>
    <row r="709" customFormat="false" ht="15.75" hidden="false" customHeight="false" outlineLevel="0" collapsed="false">
      <c r="A709" s="30"/>
      <c r="B709" s="30"/>
      <c r="C709" s="30"/>
      <c r="D709" s="31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  <c r="AL709" s="30"/>
      <c r="AM709" s="30"/>
      <c r="AN709" s="30"/>
      <c r="AO709" s="30"/>
      <c r="AP709" s="30"/>
      <c r="AQ709" s="30"/>
      <c r="AR709" s="30"/>
      <c r="AS709" s="30"/>
    </row>
    <row r="710" customFormat="false" ht="15.75" hidden="false" customHeight="false" outlineLevel="0" collapsed="false">
      <c r="A710" s="30"/>
      <c r="B710" s="30"/>
      <c r="C710" s="30"/>
      <c r="D710" s="31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  <c r="AL710" s="30"/>
      <c r="AM710" s="30"/>
      <c r="AN710" s="30"/>
      <c r="AO710" s="30"/>
      <c r="AP710" s="30"/>
      <c r="AQ710" s="30"/>
      <c r="AR710" s="30"/>
      <c r="AS710" s="30"/>
    </row>
    <row r="711" customFormat="false" ht="15.75" hidden="false" customHeight="false" outlineLevel="0" collapsed="false">
      <c r="A711" s="30"/>
      <c r="B711" s="30"/>
      <c r="C711" s="30"/>
      <c r="D711" s="31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  <c r="AL711" s="30"/>
      <c r="AM711" s="30"/>
      <c r="AN711" s="30"/>
      <c r="AO711" s="30"/>
      <c r="AP711" s="30"/>
      <c r="AQ711" s="30"/>
      <c r="AR711" s="30"/>
      <c r="AS711" s="30"/>
    </row>
    <row r="712" customFormat="false" ht="15.75" hidden="false" customHeight="false" outlineLevel="0" collapsed="false">
      <c r="A712" s="30"/>
      <c r="B712" s="30"/>
      <c r="C712" s="30"/>
      <c r="D712" s="31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  <c r="AL712" s="30"/>
      <c r="AM712" s="30"/>
      <c r="AN712" s="30"/>
      <c r="AO712" s="30"/>
      <c r="AP712" s="30"/>
      <c r="AQ712" s="30"/>
      <c r="AR712" s="30"/>
      <c r="AS712" s="30"/>
    </row>
    <row r="713" customFormat="false" ht="15.75" hidden="false" customHeight="false" outlineLevel="0" collapsed="false">
      <c r="A713" s="30"/>
      <c r="B713" s="30"/>
      <c r="C713" s="30"/>
      <c r="D713" s="31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  <c r="AL713" s="30"/>
      <c r="AM713" s="30"/>
      <c r="AN713" s="30"/>
      <c r="AO713" s="30"/>
      <c r="AP713" s="30"/>
      <c r="AQ713" s="30"/>
      <c r="AR713" s="30"/>
      <c r="AS713" s="30"/>
    </row>
    <row r="714" customFormat="false" ht="15.75" hidden="false" customHeight="false" outlineLevel="0" collapsed="false">
      <c r="A714" s="30"/>
      <c r="B714" s="30"/>
      <c r="C714" s="30"/>
      <c r="D714" s="31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  <c r="AL714" s="30"/>
      <c r="AM714" s="30"/>
      <c r="AN714" s="30"/>
      <c r="AO714" s="30"/>
      <c r="AP714" s="30"/>
      <c r="AQ714" s="30"/>
      <c r="AR714" s="30"/>
      <c r="AS714" s="30"/>
    </row>
    <row r="715" customFormat="false" ht="15.75" hidden="false" customHeight="false" outlineLevel="0" collapsed="false">
      <c r="A715" s="30"/>
      <c r="B715" s="30"/>
      <c r="C715" s="30"/>
      <c r="D715" s="31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  <c r="AL715" s="30"/>
      <c r="AM715" s="30"/>
      <c r="AN715" s="30"/>
      <c r="AO715" s="30"/>
      <c r="AP715" s="30"/>
      <c r="AQ715" s="30"/>
      <c r="AR715" s="30"/>
      <c r="AS715" s="30"/>
    </row>
    <row r="716" customFormat="false" ht="15.75" hidden="false" customHeight="false" outlineLevel="0" collapsed="false">
      <c r="A716" s="30"/>
      <c r="B716" s="30"/>
      <c r="C716" s="30"/>
      <c r="D716" s="31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  <c r="AL716" s="30"/>
      <c r="AM716" s="30"/>
      <c r="AN716" s="30"/>
      <c r="AO716" s="30"/>
      <c r="AP716" s="30"/>
      <c r="AQ716" s="30"/>
      <c r="AR716" s="30"/>
      <c r="AS716" s="30"/>
    </row>
    <row r="717" customFormat="false" ht="15.75" hidden="false" customHeight="false" outlineLevel="0" collapsed="false">
      <c r="A717" s="30"/>
      <c r="B717" s="30"/>
      <c r="C717" s="30"/>
      <c r="D717" s="31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  <c r="AL717" s="30"/>
      <c r="AM717" s="30"/>
      <c r="AN717" s="30"/>
      <c r="AO717" s="30"/>
      <c r="AP717" s="30"/>
      <c r="AQ717" s="30"/>
      <c r="AR717" s="30"/>
      <c r="AS717" s="30"/>
    </row>
    <row r="718" customFormat="false" ht="15.75" hidden="false" customHeight="false" outlineLevel="0" collapsed="false">
      <c r="A718" s="30"/>
      <c r="B718" s="30"/>
      <c r="C718" s="30"/>
      <c r="D718" s="31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  <c r="AL718" s="30"/>
      <c r="AM718" s="30"/>
      <c r="AN718" s="30"/>
      <c r="AO718" s="30"/>
      <c r="AP718" s="30"/>
      <c r="AQ718" s="30"/>
      <c r="AR718" s="30"/>
      <c r="AS718" s="30"/>
    </row>
    <row r="719" customFormat="false" ht="15.75" hidden="false" customHeight="false" outlineLevel="0" collapsed="false">
      <c r="A719" s="30"/>
      <c r="B719" s="30"/>
      <c r="C719" s="30"/>
      <c r="D719" s="31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  <c r="AL719" s="30"/>
      <c r="AM719" s="30"/>
      <c r="AN719" s="30"/>
      <c r="AO719" s="30"/>
      <c r="AP719" s="30"/>
      <c r="AQ719" s="30"/>
      <c r="AR719" s="30"/>
      <c r="AS719" s="30"/>
    </row>
    <row r="720" customFormat="false" ht="15.75" hidden="false" customHeight="false" outlineLevel="0" collapsed="false">
      <c r="A720" s="30"/>
      <c r="B720" s="30"/>
      <c r="C720" s="30"/>
      <c r="D720" s="31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  <c r="AL720" s="30"/>
      <c r="AM720" s="30"/>
      <c r="AN720" s="30"/>
      <c r="AO720" s="30"/>
      <c r="AP720" s="30"/>
      <c r="AQ720" s="30"/>
      <c r="AR720" s="30"/>
      <c r="AS720" s="30"/>
    </row>
    <row r="721" customFormat="false" ht="15.75" hidden="false" customHeight="false" outlineLevel="0" collapsed="false">
      <c r="A721" s="30"/>
      <c r="B721" s="30"/>
      <c r="C721" s="30"/>
      <c r="D721" s="31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  <c r="AL721" s="30"/>
      <c r="AM721" s="30"/>
      <c r="AN721" s="30"/>
      <c r="AO721" s="30"/>
      <c r="AP721" s="30"/>
      <c r="AQ721" s="30"/>
      <c r="AR721" s="30"/>
      <c r="AS721" s="30"/>
    </row>
    <row r="722" customFormat="false" ht="15.75" hidden="false" customHeight="false" outlineLevel="0" collapsed="false">
      <c r="A722" s="30"/>
      <c r="B722" s="30"/>
      <c r="C722" s="30"/>
      <c r="D722" s="31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  <c r="AL722" s="30"/>
      <c r="AM722" s="30"/>
      <c r="AN722" s="30"/>
      <c r="AO722" s="30"/>
      <c r="AP722" s="30"/>
      <c r="AQ722" s="30"/>
      <c r="AR722" s="30"/>
      <c r="AS722" s="30"/>
    </row>
    <row r="723" customFormat="false" ht="15.75" hidden="false" customHeight="false" outlineLevel="0" collapsed="false">
      <c r="A723" s="30"/>
      <c r="B723" s="30"/>
      <c r="C723" s="30"/>
      <c r="D723" s="31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  <c r="AL723" s="30"/>
      <c r="AM723" s="30"/>
      <c r="AN723" s="30"/>
      <c r="AO723" s="30"/>
      <c r="AP723" s="30"/>
      <c r="AQ723" s="30"/>
      <c r="AR723" s="30"/>
      <c r="AS723" s="30"/>
    </row>
    <row r="724" customFormat="false" ht="15.75" hidden="false" customHeight="false" outlineLevel="0" collapsed="false">
      <c r="A724" s="30"/>
      <c r="B724" s="30"/>
      <c r="C724" s="30"/>
      <c r="D724" s="31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  <c r="AL724" s="30"/>
      <c r="AM724" s="30"/>
      <c r="AN724" s="30"/>
      <c r="AO724" s="30"/>
      <c r="AP724" s="30"/>
      <c r="AQ724" s="30"/>
      <c r="AR724" s="30"/>
      <c r="AS724" s="30"/>
    </row>
    <row r="725" customFormat="false" ht="15.75" hidden="false" customHeight="false" outlineLevel="0" collapsed="false">
      <c r="A725" s="30"/>
      <c r="B725" s="30"/>
      <c r="C725" s="30"/>
      <c r="D725" s="31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  <c r="AL725" s="30"/>
      <c r="AM725" s="30"/>
      <c r="AN725" s="30"/>
      <c r="AO725" s="30"/>
      <c r="AP725" s="30"/>
      <c r="AQ725" s="30"/>
      <c r="AR725" s="30"/>
      <c r="AS725" s="30"/>
    </row>
    <row r="726" customFormat="false" ht="15.75" hidden="false" customHeight="false" outlineLevel="0" collapsed="false">
      <c r="A726" s="30"/>
      <c r="B726" s="30"/>
      <c r="C726" s="30"/>
      <c r="D726" s="31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  <c r="AL726" s="30"/>
      <c r="AM726" s="30"/>
      <c r="AN726" s="30"/>
      <c r="AO726" s="30"/>
      <c r="AP726" s="30"/>
      <c r="AQ726" s="30"/>
      <c r="AR726" s="30"/>
      <c r="AS726" s="30"/>
    </row>
    <row r="727" customFormat="false" ht="15.75" hidden="false" customHeight="false" outlineLevel="0" collapsed="false">
      <c r="A727" s="30"/>
      <c r="B727" s="30"/>
      <c r="C727" s="30"/>
      <c r="D727" s="31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  <c r="AL727" s="30"/>
      <c r="AM727" s="30"/>
      <c r="AN727" s="30"/>
      <c r="AO727" s="30"/>
      <c r="AP727" s="30"/>
      <c r="AQ727" s="30"/>
      <c r="AR727" s="30"/>
      <c r="AS727" s="30"/>
    </row>
    <row r="728" customFormat="false" ht="15.75" hidden="false" customHeight="false" outlineLevel="0" collapsed="false">
      <c r="A728" s="30"/>
      <c r="B728" s="30"/>
      <c r="C728" s="30"/>
      <c r="D728" s="31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  <c r="AL728" s="30"/>
      <c r="AM728" s="30"/>
      <c r="AN728" s="30"/>
      <c r="AO728" s="30"/>
      <c r="AP728" s="30"/>
      <c r="AQ728" s="30"/>
      <c r="AR728" s="30"/>
      <c r="AS728" s="30"/>
    </row>
    <row r="729" customFormat="false" ht="15.75" hidden="false" customHeight="false" outlineLevel="0" collapsed="false">
      <c r="A729" s="30"/>
      <c r="B729" s="30"/>
      <c r="C729" s="30"/>
      <c r="D729" s="31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  <c r="AL729" s="30"/>
      <c r="AM729" s="30"/>
      <c r="AN729" s="30"/>
      <c r="AO729" s="30"/>
      <c r="AP729" s="30"/>
      <c r="AQ729" s="30"/>
      <c r="AR729" s="30"/>
      <c r="AS729" s="30"/>
    </row>
    <row r="730" customFormat="false" ht="15.75" hidden="false" customHeight="false" outlineLevel="0" collapsed="false">
      <c r="A730" s="30"/>
      <c r="B730" s="30"/>
      <c r="C730" s="30"/>
      <c r="D730" s="31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  <c r="AL730" s="30"/>
      <c r="AM730" s="30"/>
      <c r="AN730" s="30"/>
      <c r="AO730" s="30"/>
      <c r="AP730" s="30"/>
      <c r="AQ730" s="30"/>
      <c r="AR730" s="30"/>
      <c r="AS730" s="30"/>
    </row>
    <row r="731" customFormat="false" ht="15.75" hidden="false" customHeight="false" outlineLevel="0" collapsed="false">
      <c r="A731" s="30"/>
      <c r="B731" s="30"/>
      <c r="C731" s="30"/>
      <c r="D731" s="31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  <c r="AL731" s="30"/>
      <c r="AM731" s="30"/>
      <c r="AN731" s="30"/>
      <c r="AO731" s="30"/>
      <c r="AP731" s="30"/>
      <c r="AQ731" s="30"/>
      <c r="AR731" s="30"/>
      <c r="AS731" s="30"/>
    </row>
    <row r="732" customFormat="false" ht="15.75" hidden="false" customHeight="false" outlineLevel="0" collapsed="false">
      <c r="A732" s="30"/>
      <c r="B732" s="30"/>
      <c r="C732" s="30"/>
      <c r="D732" s="31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  <c r="AL732" s="30"/>
      <c r="AM732" s="30"/>
      <c r="AN732" s="30"/>
      <c r="AO732" s="30"/>
      <c r="AP732" s="30"/>
      <c r="AQ732" s="30"/>
      <c r="AR732" s="30"/>
      <c r="AS732" s="30"/>
    </row>
    <row r="733" customFormat="false" ht="15.75" hidden="false" customHeight="false" outlineLevel="0" collapsed="false">
      <c r="A733" s="30"/>
      <c r="B733" s="30"/>
      <c r="C733" s="30"/>
      <c r="D733" s="31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  <c r="AL733" s="30"/>
      <c r="AM733" s="30"/>
      <c r="AN733" s="30"/>
      <c r="AO733" s="30"/>
      <c r="AP733" s="30"/>
      <c r="AQ733" s="30"/>
      <c r="AR733" s="30"/>
      <c r="AS733" s="30"/>
    </row>
    <row r="734" customFormat="false" ht="15.75" hidden="false" customHeight="false" outlineLevel="0" collapsed="false">
      <c r="A734" s="30"/>
      <c r="B734" s="30"/>
      <c r="C734" s="30"/>
      <c r="D734" s="31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  <c r="AL734" s="30"/>
      <c r="AM734" s="30"/>
      <c r="AN734" s="30"/>
      <c r="AO734" s="30"/>
      <c r="AP734" s="30"/>
      <c r="AQ734" s="30"/>
      <c r="AR734" s="30"/>
      <c r="AS734" s="30"/>
    </row>
    <row r="735" customFormat="false" ht="15.75" hidden="false" customHeight="false" outlineLevel="0" collapsed="false">
      <c r="A735" s="30"/>
      <c r="B735" s="30"/>
      <c r="C735" s="30"/>
      <c r="D735" s="31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  <c r="AL735" s="30"/>
      <c r="AM735" s="30"/>
      <c r="AN735" s="30"/>
      <c r="AO735" s="30"/>
      <c r="AP735" s="30"/>
      <c r="AQ735" s="30"/>
      <c r="AR735" s="30"/>
      <c r="AS735" s="30"/>
    </row>
    <row r="736" customFormat="false" ht="15.75" hidden="false" customHeight="false" outlineLevel="0" collapsed="false">
      <c r="A736" s="30"/>
      <c r="B736" s="30"/>
      <c r="C736" s="30"/>
      <c r="D736" s="31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  <c r="AL736" s="30"/>
      <c r="AM736" s="30"/>
      <c r="AN736" s="30"/>
      <c r="AO736" s="30"/>
      <c r="AP736" s="30"/>
      <c r="AQ736" s="30"/>
      <c r="AR736" s="30"/>
      <c r="AS736" s="30"/>
    </row>
    <row r="737" customFormat="false" ht="15.75" hidden="false" customHeight="false" outlineLevel="0" collapsed="false">
      <c r="A737" s="30"/>
      <c r="B737" s="30"/>
      <c r="C737" s="30"/>
      <c r="D737" s="31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  <c r="AL737" s="30"/>
      <c r="AM737" s="30"/>
      <c r="AN737" s="30"/>
      <c r="AO737" s="30"/>
      <c r="AP737" s="30"/>
      <c r="AQ737" s="30"/>
      <c r="AR737" s="30"/>
      <c r="AS737" s="30"/>
    </row>
    <row r="738" customFormat="false" ht="15.75" hidden="false" customHeight="false" outlineLevel="0" collapsed="false">
      <c r="A738" s="30"/>
      <c r="B738" s="30"/>
      <c r="C738" s="30"/>
      <c r="D738" s="31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  <c r="AL738" s="30"/>
      <c r="AM738" s="30"/>
      <c r="AN738" s="30"/>
      <c r="AO738" s="30"/>
      <c r="AP738" s="30"/>
      <c r="AQ738" s="30"/>
      <c r="AR738" s="30"/>
      <c r="AS738" s="30"/>
    </row>
    <row r="739" customFormat="false" ht="15.75" hidden="false" customHeight="false" outlineLevel="0" collapsed="false">
      <c r="A739" s="30"/>
      <c r="B739" s="30"/>
      <c r="C739" s="30"/>
      <c r="D739" s="31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  <c r="AL739" s="30"/>
      <c r="AM739" s="30"/>
      <c r="AN739" s="30"/>
      <c r="AO739" s="30"/>
      <c r="AP739" s="30"/>
      <c r="AQ739" s="30"/>
      <c r="AR739" s="30"/>
      <c r="AS739" s="30"/>
    </row>
    <row r="740" customFormat="false" ht="15.75" hidden="false" customHeight="false" outlineLevel="0" collapsed="false">
      <c r="A740" s="30"/>
      <c r="B740" s="30"/>
      <c r="C740" s="30"/>
      <c r="D740" s="31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  <c r="AL740" s="30"/>
      <c r="AM740" s="30"/>
      <c r="AN740" s="30"/>
      <c r="AO740" s="30"/>
      <c r="AP740" s="30"/>
      <c r="AQ740" s="30"/>
      <c r="AR740" s="30"/>
      <c r="AS740" s="30"/>
    </row>
    <row r="741" customFormat="false" ht="15.75" hidden="false" customHeight="false" outlineLevel="0" collapsed="false">
      <c r="A741" s="30"/>
      <c r="B741" s="30"/>
      <c r="C741" s="30"/>
      <c r="D741" s="31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  <c r="AL741" s="30"/>
      <c r="AM741" s="30"/>
      <c r="AN741" s="30"/>
      <c r="AO741" s="30"/>
      <c r="AP741" s="30"/>
      <c r="AQ741" s="30"/>
      <c r="AR741" s="30"/>
      <c r="AS741" s="30"/>
    </row>
    <row r="742" customFormat="false" ht="15.75" hidden="false" customHeight="false" outlineLevel="0" collapsed="false">
      <c r="A742" s="30"/>
      <c r="B742" s="30"/>
      <c r="C742" s="30"/>
      <c r="D742" s="31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  <c r="AL742" s="30"/>
      <c r="AM742" s="30"/>
      <c r="AN742" s="30"/>
      <c r="AO742" s="30"/>
      <c r="AP742" s="30"/>
      <c r="AQ742" s="30"/>
      <c r="AR742" s="30"/>
      <c r="AS742" s="30"/>
    </row>
    <row r="743" customFormat="false" ht="15.75" hidden="false" customHeight="false" outlineLevel="0" collapsed="false">
      <c r="A743" s="30"/>
      <c r="B743" s="30"/>
      <c r="C743" s="30"/>
      <c r="D743" s="31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  <c r="AL743" s="30"/>
      <c r="AM743" s="30"/>
      <c r="AN743" s="30"/>
      <c r="AO743" s="30"/>
      <c r="AP743" s="30"/>
      <c r="AQ743" s="30"/>
      <c r="AR743" s="30"/>
      <c r="AS743" s="30"/>
    </row>
    <row r="744" customFormat="false" ht="15.75" hidden="false" customHeight="false" outlineLevel="0" collapsed="false">
      <c r="A744" s="30"/>
      <c r="B744" s="30"/>
      <c r="C744" s="30"/>
      <c r="D744" s="31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  <c r="AL744" s="30"/>
      <c r="AM744" s="30"/>
      <c r="AN744" s="30"/>
      <c r="AO744" s="30"/>
      <c r="AP744" s="30"/>
      <c r="AQ744" s="30"/>
      <c r="AR744" s="30"/>
      <c r="AS744" s="30"/>
    </row>
    <row r="745" customFormat="false" ht="15.75" hidden="false" customHeight="false" outlineLevel="0" collapsed="false">
      <c r="A745" s="30"/>
      <c r="B745" s="30"/>
      <c r="C745" s="30"/>
      <c r="D745" s="31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  <c r="AL745" s="30"/>
      <c r="AM745" s="30"/>
      <c r="AN745" s="30"/>
      <c r="AO745" s="30"/>
      <c r="AP745" s="30"/>
      <c r="AQ745" s="30"/>
      <c r="AR745" s="30"/>
      <c r="AS745" s="30"/>
    </row>
    <row r="746" customFormat="false" ht="15.75" hidden="false" customHeight="false" outlineLevel="0" collapsed="false">
      <c r="A746" s="30"/>
      <c r="B746" s="30"/>
      <c r="C746" s="30"/>
      <c r="D746" s="31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  <c r="AL746" s="30"/>
      <c r="AM746" s="30"/>
      <c r="AN746" s="30"/>
      <c r="AO746" s="30"/>
      <c r="AP746" s="30"/>
      <c r="AQ746" s="30"/>
      <c r="AR746" s="30"/>
      <c r="AS746" s="30"/>
    </row>
    <row r="747" customFormat="false" ht="15.75" hidden="false" customHeight="false" outlineLevel="0" collapsed="false">
      <c r="A747" s="30"/>
      <c r="B747" s="30"/>
      <c r="C747" s="30"/>
      <c r="D747" s="31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  <c r="AL747" s="30"/>
      <c r="AM747" s="30"/>
      <c r="AN747" s="30"/>
      <c r="AO747" s="30"/>
      <c r="AP747" s="30"/>
      <c r="AQ747" s="30"/>
      <c r="AR747" s="30"/>
      <c r="AS747" s="30"/>
    </row>
    <row r="748" customFormat="false" ht="15.75" hidden="false" customHeight="false" outlineLevel="0" collapsed="false">
      <c r="A748" s="30"/>
      <c r="B748" s="30"/>
      <c r="C748" s="30"/>
      <c r="D748" s="31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  <c r="AL748" s="30"/>
      <c r="AM748" s="30"/>
      <c r="AN748" s="30"/>
      <c r="AO748" s="30"/>
      <c r="AP748" s="30"/>
      <c r="AQ748" s="30"/>
      <c r="AR748" s="30"/>
      <c r="AS748" s="30"/>
    </row>
    <row r="749" customFormat="false" ht="15.75" hidden="false" customHeight="false" outlineLevel="0" collapsed="false">
      <c r="A749" s="30"/>
      <c r="B749" s="30"/>
      <c r="C749" s="30"/>
      <c r="D749" s="31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  <c r="AL749" s="30"/>
      <c r="AM749" s="30"/>
      <c r="AN749" s="30"/>
      <c r="AO749" s="30"/>
      <c r="AP749" s="30"/>
      <c r="AQ749" s="30"/>
      <c r="AR749" s="30"/>
      <c r="AS749" s="30"/>
    </row>
    <row r="750" customFormat="false" ht="15.75" hidden="false" customHeight="false" outlineLevel="0" collapsed="false">
      <c r="A750" s="30"/>
      <c r="B750" s="30"/>
      <c r="C750" s="30"/>
      <c r="D750" s="31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  <c r="AL750" s="30"/>
      <c r="AM750" s="30"/>
      <c r="AN750" s="30"/>
      <c r="AO750" s="30"/>
      <c r="AP750" s="30"/>
      <c r="AQ750" s="30"/>
      <c r="AR750" s="30"/>
      <c r="AS750" s="30"/>
    </row>
    <row r="751" customFormat="false" ht="15.75" hidden="false" customHeight="false" outlineLevel="0" collapsed="false">
      <c r="A751" s="30"/>
      <c r="B751" s="30"/>
      <c r="C751" s="30"/>
      <c r="D751" s="31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  <c r="AL751" s="30"/>
      <c r="AM751" s="30"/>
      <c r="AN751" s="30"/>
      <c r="AO751" s="30"/>
      <c r="AP751" s="30"/>
      <c r="AQ751" s="30"/>
      <c r="AR751" s="30"/>
      <c r="AS751" s="30"/>
    </row>
    <row r="752" customFormat="false" ht="15.75" hidden="false" customHeight="false" outlineLevel="0" collapsed="false">
      <c r="A752" s="30"/>
      <c r="B752" s="30"/>
      <c r="C752" s="30"/>
      <c r="D752" s="31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  <c r="AL752" s="30"/>
      <c r="AM752" s="30"/>
      <c r="AN752" s="30"/>
      <c r="AO752" s="30"/>
      <c r="AP752" s="30"/>
      <c r="AQ752" s="30"/>
      <c r="AR752" s="30"/>
      <c r="AS752" s="30"/>
    </row>
    <row r="753" customFormat="false" ht="15.75" hidden="false" customHeight="false" outlineLevel="0" collapsed="false">
      <c r="A753" s="30"/>
      <c r="B753" s="30"/>
      <c r="C753" s="30"/>
      <c r="D753" s="31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  <c r="AL753" s="30"/>
      <c r="AM753" s="30"/>
      <c r="AN753" s="30"/>
      <c r="AO753" s="30"/>
      <c r="AP753" s="30"/>
      <c r="AQ753" s="30"/>
      <c r="AR753" s="30"/>
      <c r="AS753" s="30"/>
    </row>
    <row r="754" customFormat="false" ht="15.75" hidden="false" customHeight="false" outlineLevel="0" collapsed="false">
      <c r="A754" s="30"/>
      <c r="B754" s="30"/>
      <c r="C754" s="30"/>
      <c r="D754" s="31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  <c r="AN754" s="30"/>
      <c r="AO754" s="30"/>
      <c r="AP754" s="30"/>
      <c r="AQ754" s="30"/>
      <c r="AR754" s="30"/>
      <c r="AS754" s="30"/>
    </row>
    <row r="755" customFormat="false" ht="15.75" hidden="false" customHeight="false" outlineLevel="0" collapsed="false">
      <c r="A755" s="30"/>
      <c r="B755" s="30"/>
      <c r="C755" s="30"/>
      <c r="D755" s="31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  <c r="AL755" s="30"/>
      <c r="AM755" s="30"/>
      <c r="AN755" s="30"/>
      <c r="AO755" s="30"/>
      <c r="AP755" s="30"/>
      <c r="AQ755" s="30"/>
      <c r="AR755" s="30"/>
      <c r="AS755" s="30"/>
    </row>
    <row r="756" customFormat="false" ht="15.75" hidden="false" customHeight="false" outlineLevel="0" collapsed="false">
      <c r="A756" s="30"/>
      <c r="B756" s="30"/>
      <c r="C756" s="30"/>
      <c r="D756" s="31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  <c r="AL756" s="30"/>
      <c r="AM756" s="30"/>
      <c r="AN756" s="30"/>
      <c r="AO756" s="30"/>
      <c r="AP756" s="30"/>
      <c r="AQ756" s="30"/>
      <c r="AR756" s="30"/>
      <c r="AS756" s="30"/>
    </row>
    <row r="757" customFormat="false" ht="15.75" hidden="false" customHeight="false" outlineLevel="0" collapsed="false">
      <c r="A757" s="30"/>
      <c r="B757" s="30"/>
      <c r="C757" s="30"/>
      <c r="D757" s="31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  <c r="AL757" s="30"/>
      <c r="AM757" s="30"/>
      <c r="AN757" s="30"/>
      <c r="AO757" s="30"/>
      <c r="AP757" s="30"/>
      <c r="AQ757" s="30"/>
      <c r="AR757" s="30"/>
      <c r="AS757" s="30"/>
    </row>
    <row r="758" customFormat="false" ht="15.75" hidden="false" customHeight="false" outlineLevel="0" collapsed="false">
      <c r="A758" s="30"/>
      <c r="B758" s="30"/>
      <c r="C758" s="30"/>
      <c r="D758" s="31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  <c r="AL758" s="30"/>
      <c r="AM758" s="30"/>
      <c r="AN758" s="30"/>
      <c r="AO758" s="30"/>
      <c r="AP758" s="30"/>
      <c r="AQ758" s="30"/>
      <c r="AR758" s="30"/>
      <c r="AS758" s="30"/>
    </row>
    <row r="759" customFormat="false" ht="15.75" hidden="false" customHeight="false" outlineLevel="0" collapsed="false">
      <c r="A759" s="30"/>
      <c r="B759" s="30"/>
      <c r="C759" s="30"/>
      <c r="D759" s="31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  <c r="AL759" s="30"/>
      <c r="AM759" s="30"/>
      <c r="AN759" s="30"/>
      <c r="AO759" s="30"/>
      <c r="AP759" s="30"/>
      <c r="AQ759" s="30"/>
      <c r="AR759" s="30"/>
      <c r="AS759" s="30"/>
    </row>
    <row r="760" customFormat="false" ht="15.75" hidden="false" customHeight="false" outlineLevel="0" collapsed="false">
      <c r="A760" s="30"/>
      <c r="B760" s="30"/>
      <c r="C760" s="30"/>
      <c r="D760" s="31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  <c r="AL760" s="30"/>
      <c r="AM760" s="30"/>
      <c r="AN760" s="30"/>
      <c r="AO760" s="30"/>
      <c r="AP760" s="30"/>
      <c r="AQ760" s="30"/>
      <c r="AR760" s="30"/>
      <c r="AS760" s="30"/>
    </row>
    <row r="761" customFormat="false" ht="15.75" hidden="false" customHeight="false" outlineLevel="0" collapsed="false">
      <c r="A761" s="30"/>
      <c r="B761" s="30"/>
      <c r="C761" s="30"/>
      <c r="D761" s="31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  <c r="AL761" s="30"/>
      <c r="AM761" s="30"/>
      <c r="AN761" s="30"/>
      <c r="AO761" s="30"/>
      <c r="AP761" s="30"/>
      <c r="AQ761" s="30"/>
      <c r="AR761" s="30"/>
      <c r="AS761" s="30"/>
    </row>
    <row r="762" customFormat="false" ht="15.75" hidden="false" customHeight="false" outlineLevel="0" collapsed="false">
      <c r="A762" s="30"/>
      <c r="B762" s="30"/>
      <c r="C762" s="30"/>
      <c r="D762" s="31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  <c r="AL762" s="30"/>
      <c r="AM762" s="30"/>
      <c r="AN762" s="30"/>
      <c r="AO762" s="30"/>
      <c r="AP762" s="30"/>
      <c r="AQ762" s="30"/>
      <c r="AR762" s="30"/>
      <c r="AS762" s="30"/>
    </row>
    <row r="763" customFormat="false" ht="15.75" hidden="false" customHeight="false" outlineLevel="0" collapsed="false">
      <c r="A763" s="30"/>
      <c r="B763" s="30"/>
      <c r="C763" s="30"/>
      <c r="D763" s="31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  <c r="AL763" s="30"/>
      <c r="AM763" s="30"/>
      <c r="AN763" s="30"/>
      <c r="AO763" s="30"/>
      <c r="AP763" s="30"/>
      <c r="AQ763" s="30"/>
      <c r="AR763" s="30"/>
      <c r="AS763" s="30"/>
    </row>
    <row r="764" customFormat="false" ht="15.75" hidden="false" customHeight="false" outlineLevel="0" collapsed="false">
      <c r="A764" s="30"/>
      <c r="B764" s="30"/>
      <c r="C764" s="30"/>
      <c r="D764" s="31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  <c r="AL764" s="30"/>
      <c r="AM764" s="30"/>
      <c r="AN764" s="30"/>
      <c r="AO764" s="30"/>
      <c r="AP764" s="30"/>
      <c r="AQ764" s="30"/>
      <c r="AR764" s="30"/>
      <c r="AS764" s="30"/>
    </row>
    <row r="765" customFormat="false" ht="15.75" hidden="false" customHeight="false" outlineLevel="0" collapsed="false">
      <c r="A765" s="30"/>
      <c r="B765" s="30"/>
      <c r="C765" s="30"/>
      <c r="D765" s="31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  <c r="AL765" s="30"/>
      <c r="AM765" s="30"/>
      <c r="AN765" s="30"/>
      <c r="AO765" s="30"/>
      <c r="AP765" s="30"/>
      <c r="AQ765" s="30"/>
      <c r="AR765" s="30"/>
      <c r="AS765" s="30"/>
    </row>
    <row r="766" customFormat="false" ht="15.75" hidden="false" customHeight="false" outlineLevel="0" collapsed="false">
      <c r="A766" s="30"/>
      <c r="B766" s="30"/>
      <c r="C766" s="30"/>
      <c r="D766" s="31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30"/>
      <c r="AM766" s="30"/>
      <c r="AN766" s="30"/>
      <c r="AO766" s="30"/>
      <c r="AP766" s="30"/>
      <c r="AQ766" s="30"/>
      <c r="AR766" s="30"/>
      <c r="AS766" s="30"/>
    </row>
    <row r="767" customFormat="false" ht="15.75" hidden="false" customHeight="false" outlineLevel="0" collapsed="false">
      <c r="A767" s="30"/>
      <c r="B767" s="30"/>
      <c r="C767" s="30"/>
      <c r="D767" s="31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  <c r="AL767" s="30"/>
      <c r="AM767" s="30"/>
      <c r="AN767" s="30"/>
      <c r="AO767" s="30"/>
      <c r="AP767" s="30"/>
      <c r="AQ767" s="30"/>
      <c r="AR767" s="30"/>
      <c r="AS767" s="30"/>
    </row>
    <row r="768" customFormat="false" ht="15.75" hidden="false" customHeight="false" outlineLevel="0" collapsed="false">
      <c r="A768" s="30"/>
      <c r="B768" s="30"/>
      <c r="C768" s="30"/>
      <c r="D768" s="31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  <c r="AL768" s="30"/>
      <c r="AM768" s="30"/>
      <c r="AN768" s="30"/>
      <c r="AO768" s="30"/>
      <c r="AP768" s="30"/>
      <c r="AQ768" s="30"/>
      <c r="AR768" s="30"/>
      <c r="AS768" s="30"/>
    </row>
    <row r="769" customFormat="false" ht="15.75" hidden="false" customHeight="false" outlineLevel="0" collapsed="false">
      <c r="A769" s="30"/>
      <c r="B769" s="30"/>
      <c r="C769" s="30"/>
      <c r="D769" s="31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30"/>
      <c r="AM769" s="30"/>
      <c r="AN769" s="30"/>
      <c r="AO769" s="30"/>
      <c r="AP769" s="30"/>
      <c r="AQ769" s="30"/>
      <c r="AR769" s="30"/>
      <c r="AS769" s="30"/>
    </row>
    <row r="770" customFormat="false" ht="15.75" hidden="false" customHeight="false" outlineLevel="0" collapsed="false">
      <c r="A770" s="30"/>
      <c r="B770" s="30"/>
      <c r="C770" s="30"/>
      <c r="D770" s="31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  <c r="AL770" s="30"/>
      <c r="AM770" s="30"/>
      <c r="AN770" s="30"/>
      <c r="AO770" s="30"/>
      <c r="AP770" s="30"/>
      <c r="AQ770" s="30"/>
      <c r="AR770" s="30"/>
      <c r="AS770" s="30"/>
    </row>
    <row r="771" customFormat="false" ht="15.75" hidden="false" customHeight="false" outlineLevel="0" collapsed="false">
      <c r="A771" s="30"/>
      <c r="B771" s="30"/>
      <c r="C771" s="30"/>
      <c r="D771" s="31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  <c r="AL771" s="30"/>
      <c r="AM771" s="30"/>
      <c r="AN771" s="30"/>
      <c r="AO771" s="30"/>
      <c r="AP771" s="30"/>
      <c r="AQ771" s="30"/>
      <c r="AR771" s="30"/>
      <c r="AS771" s="30"/>
    </row>
    <row r="772" customFormat="false" ht="15.75" hidden="false" customHeight="false" outlineLevel="0" collapsed="false">
      <c r="A772" s="30"/>
      <c r="B772" s="30"/>
      <c r="C772" s="30"/>
      <c r="D772" s="31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  <c r="AL772" s="30"/>
      <c r="AM772" s="30"/>
      <c r="AN772" s="30"/>
      <c r="AO772" s="30"/>
      <c r="AP772" s="30"/>
      <c r="AQ772" s="30"/>
      <c r="AR772" s="30"/>
      <c r="AS772" s="30"/>
    </row>
    <row r="773" customFormat="false" ht="15.75" hidden="false" customHeight="false" outlineLevel="0" collapsed="false">
      <c r="A773" s="30"/>
      <c r="B773" s="30"/>
      <c r="C773" s="30"/>
      <c r="D773" s="31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  <c r="AL773" s="30"/>
      <c r="AM773" s="30"/>
      <c r="AN773" s="30"/>
      <c r="AO773" s="30"/>
      <c r="AP773" s="30"/>
      <c r="AQ773" s="30"/>
      <c r="AR773" s="30"/>
      <c r="AS773" s="30"/>
    </row>
    <row r="774" customFormat="false" ht="15.75" hidden="false" customHeight="false" outlineLevel="0" collapsed="false">
      <c r="A774" s="30"/>
      <c r="B774" s="30"/>
      <c r="C774" s="30"/>
      <c r="D774" s="31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  <c r="AL774" s="30"/>
      <c r="AM774" s="30"/>
      <c r="AN774" s="30"/>
      <c r="AO774" s="30"/>
      <c r="AP774" s="30"/>
      <c r="AQ774" s="30"/>
      <c r="AR774" s="30"/>
      <c r="AS774" s="30"/>
    </row>
    <row r="775" customFormat="false" ht="15.75" hidden="false" customHeight="false" outlineLevel="0" collapsed="false">
      <c r="A775" s="30"/>
      <c r="B775" s="30"/>
      <c r="C775" s="30"/>
      <c r="D775" s="31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  <c r="AL775" s="30"/>
      <c r="AM775" s="30"/>
      <c r="AN775" s="30"/>
      <c r="AO775" s="30"/>
      <c r="AP775" s="30"/>
      <c r="AQ775" s="30"/>
      <c r="AR775" s="30"/>
      <c r="AS775" s="30"/>
    </row>
    <row r="776" customFormat="false" ht="15.75" hidden="false" customHeight="false" outlineLevel="0" collapsed="false">
      <c r="A776" s="30"/>
      <c r="B776" s="30"/>
      <c r="C776" s="30"/>
      <c r="D776" s="31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  <c r="AL776" s="30"/>
      <c r="AM776" s="30"/>
      <c r="AN776" s="30"/>
      <c r="AO776" s="30"/>
      <c r="AP776" s="30"/>
      <c r="AQ776" s="30"/>
      <c r="AR776" s="30"/>
      <c r="AS776" s="30"/>
    </row>
    <row r="777" customFormat="false" ht="15.75" hidden="false" customHeight="false" outlineLevel="0" collapsed="false">
      <c r="A777" s="30"/>
      <c r="B777" s="30"/>
      <c r="C777" s="30"/>
      <c r="D777" s="31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  <c r="AL777" s="30"/>
      <c r="AM777" s="30"/>
      <c r="AN777" s="30"/>
      <c r="AO777" s="30"/>
      <c r="AP777" s="30"/>
      <c r="AQ777" s="30"/>
      <c r="AR777" s="30"/>
      <c r="AS777" s="30"/>
    </row>
    <row r="778" customFormat="false" ht="15.75" hidden="false" customHeight="false" outlineLevel="0" collapsed="false">
      <c r="A778" s="30"/>
      <c r="B778" s="30"/>
      <c r="C778" s="30"/>
      <c r="D778" s="31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  <c r="AL778" s="30"/>
      <c r="AM778" s="30"/>
      <c r="AN778" s="30"/>
      <c r="AO778" s="30"/>
      <c r="AP778" s="30"/>
      <c r="AQ778" s="30"/>
      <c r="AR778" s="30"/>
      <c r="AS778" s="30"/>
    </row>
    <row r="779" customFormat="false" ht="15.75" hidden="false" customHeight="false" outlineLevel="0" collapsed="false">
      <c r="A779" s="30"/>
      <c r="B779" s="30"/>
      <c r="C779" s="30"/>
      <c r="D779" s="31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  <c r="AL779" s="30"/>
      <c r="AM779" s="30"/>
      <c r="AN779" s="30"/>
      <c r="AO779" s="30"/>
      <c r="AP779" s="30"/>
      <c r="AQ779" s="30"/>
      <c r="AR779" s="30"/>
      <c r="AS779" s="30"/>
    </row>
    <row r="780" customFormat="false" ht="15.75" hidden="false" customHeight="false" outlineLevel="0" collapsed="false">
      <c r="A780" s="30"/>
      <c r="B780" s="30"/>
      <c r="C780" s="30"/>
      <c r="D780" s="31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  <c r="AL780" s="30"/>
      <c r="AM780" s="30"/>
      <c r="AN780" s="30"/>
      <c r="AO780" s="30"/>
      <c r="AP780" s="30"/>
      <c r="AQ780" s="30"/>
      <c r="AR780" s="30"/>
      <c r="AS780" s="30"/>
    </row>
    <row r="781" customFormat="false" ht="15.75" hidden="false" customHeight="false" outlineLevel="0" collapsed="false">
      <c r="A781" s="30"/>
      <c r="B781" s="30"/>
      <c r="C781" s="30"/>
      <c r="D781" s="31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  <c r="AL781" s="30"/>
      <c r="AM781" s="30"/>
      <c r="AN781" s="30"/>
      <c r="AO781" s="30"/>
      <c r="AP781" s="30"/>
      <c r="AQ781" s="30"/>
      <c r="AR781" s="30"/>
      <c r="AS781" s="30"/>
    </row>
    <row r="782" customFormat="false" ht="15.75" hidden="false" customHeight="false" outlineLevel="0" collapsed="false">
      <c r="A782" s="30"/>
      <c r="B782" s="30"/>
      <c r="C782" s="30"/>
      <c r="D782" s="31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  <c r="AL782" s="30"/>
      <c r="AM782" s="30"/>
      <c r="AN782" s="30"/>
      <c r="AO782" s="30"/>
      <c r="AP782" s="30"/>
      <c r="AQ782" s="30"/>
      <c r="AR782" s="30"/>
      <c r="AS782" s="30"/>
    </row>
    <row r="783" customFormat="false" ht="15.75" hidden="false" customHeight="false" outlineLevel="0" collapsed="false">
      <c r="A783" s="30"/>
      <c r="B783" s="30"/>
      <c r="C783" s="30"/>
      <c r="D783" s="31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  <c r="AL783" s="30"/>
      <c r="AM783" s="30"/>
      <c r="AN783" s="30"/>
      <c r="AO783" s="30"/>
      <c r="AP783" s="30"/>
      <c r="AQ783" s="30"/>
      <c r="AR783" s="30"/>
      <c r="AS783" s="30"/>
    </row>
    <row r="784" customFormat="false" ht="15.75" hidden="false" customHeight="false" outlineLevel="0" collapsed="false">
      <c r="A784" s="30"/>
      <c r="B784" s="30"/>
      <c r="C784" s="30"/>
      <c r="D784" s="31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  <c r="AL784" s="30"/>
      <c r="AM784" s="30"/>
      <c r="AN784" s="30"/>
      <c r="AO784" s="30"/>
      <c r="AP784" s="30"/>
      <c r="AQ784" s="30"/>
      <c r="AR784" s="30"/>
      <c r="AS784" s="30"/>
    </row>
    <row r="785" customFormat="false" ht="15.75" hidden="false" customHeight="false" outlineLevel="0" collapsed="false">
      <c r="A785" s="30"/>
      <c r="B785" s="30"/>
      <c r="C785" s="30"/>
      <c r="D785" s="31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  <c r="AL785" s="30"/>
      <c r="AM785" s="30"/>
      <c r="AN785" s="30"/>
      <c r="AO785" s="30"/>
      <c r="AP785" s="30"/>
      <c r="AQ785" s="30"/>
      <c r="AR785" s="30"/>
      <c r="AS785" s="30"/>
    </row>
    <row r="786" customFormat="false" ht="15.75" hidden="false" customHeight="false" outlineLevel="0" collapsed="false">
      <c r="A786" s="30"/>
      <c r="B786" s="30"/>
      <c r="C786" s="30"/>
      <c r="D786" s="31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  <c r="AL786" s="30"/>
      <c r="AM786" s="30"/>
      <c r="AN786" s="30"/>
      <c r="AO786" s="30"/>
      <c r="AP786" s="30"/>
      <c r="AQ786" s="30"/>
      <c r="AR786" s="30"/>
      <c r="AS786" s="30"/>
    </row>
    <row r="787" customFormat="false" ht="15.75" hidden="false" customHeight="false" outlineLevel="0" collapsed="false">
      <c r="A787" s="30"/>
      <c r="B787" s="30"/>
      <c r="C787" s="30"/>
      <c r="D787" s="31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  <c r="AL787" s="30"/>
      <c r="AM787" s="30"/>
      <c r="AN787" s="30"/>
      <c r="AO787" s="30"/>
      <c r="AP787" s="30"/>
      <c r="AQ787" s="30"/>
      <c r="AR787" s="30"/>
      <c r="AS787" s="30"/>
    </row>
    <row r="788" customFormat="false" ht="15.75" hidden="false" customHeight="false" outlineLevel="0" collapsed="false">
      <c r="A788" s="30"/>
      <c r="B788" s="30"/>
      <c r="C788" s="30"/>
      <c r="D788" s="31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  <c r="AL788" s="30"/>
      <c r="AM788" s="30"/>
      <c r="AN788" s="30"/>
      <c r="AO788" s="30"/>
      <c r="AP788" s="30"/>
      <c r="AQ788" s="30"/>
      <c r="AR788" s="30"/>
      <c r="AS788" s="30"/>
    </row>
    <row r="789" customFormat="false" ht="15.75" hidden="false" customHeight="false" outlineLevel="0" collapsed="false">
      <c r="A789" s="30"/>
      <c r="B789" s="30"/>
      <c r="C789" s="30"/>
      <c r="D789" s="31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  <c r="AL789" s="30"/>
      <c r="AM789" s="30"/>
      <c r="AN789" s="30"/>
      <c r="AO789" s="30"/>
      <c r="AP789" s="30"/>
      <c r="AQ789" s="30"/>
      <c r="AR789" s="30"/>
      <c r="AS789" s="30"/>
    </row>
    <row r="790" customFormat="false" ht="15.75" hidden="false" customHeight="false" outlineLevel="0" collapsed="false">
      <c r="A790" s="30"/>
      <c r="B790" s="30"/>
      <c r="C790" s="30"/>
      <c r="D790" s="31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  <c r="AL790" s="30"/>
      <c r="AM790" s="30"/>
      <c r="AN790" s="30"/>
      <c r="AO790" s="30"/>
      <c r="AP790" s="30"/>
      <c r="AQ790" s="30"/>
      <c r="AR790" s="30"/>
      <c r="AS790" s="30"/>
    </row>
    <row r="791" customFormat="false" ht="15.75" hidden="false" customHeight="false" outlineLevel="0" collapsed="false">
      <c r="A791" s="30"/>
      <c r="B791" s="30"/>
      <c r="C791" s="30"/>
      <c r="D791" s="31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  <c r="AL791" s="30"/>
      <c r="AM791" s="30"/>
      <c r="AN791" s="30"/>
      <c r="AO791" s="30"/>
      <c r="AP791" s="30"/>
      <c r="AQ791" s="30"/>
      <c r="AR791" s="30"/>
      <c r="AS791" s="30"/>
    </row>
    <row r="792" customFormat="false" ht="15.75" hidden="false" customHeight="false" outlineLevel="0" collapsed="false">
      <c r="A792" s="30"/>
      <c r="B792" s="30"/>
      <c r="C792" s="30"/>
      <c r="D792" s="31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  <c r="AL792" s="30"/>
      <c r="AM792" s="30"/>
      <c r="AN792" s="30"/>
      <c r="AO792" s="30"/>
      <c r="AP792" s="30"/>
      <c r="AQ792" s="30"/>
      <c r="AR792" s="30"/>
      <c r="AS792" s="30"/>
    </row>
    <row r="793" customFormat="false" ht="15.75" hidden="false" customHeight="false" outlineLevel="0" collapsed="false">
      <c r="A793" s="30"/>
      <c r="B793" s="30"/>
      <c r="C793" s="30"/>
      <c r="D793" s="31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  <c r="AL793" s="30"/>
      <c r="AM793" s="30"/>
      <c r="AN793" s="30"/>
      <c r="AO793" s="30"/>
      <c r="AP793" s="30"/>
      <c r="AQ793" s="30"/>
      <c r="AR793" s="30"/>
      <c r="AS793" s="30"/>
    </row>
    <row r="794" customFormat="false" ht="15.75" hidden="false" customHeight="false" outlineLevel="0" collapsed="false">
      <c r="A794" s="30"/>
      <c r="B794" s="30"/>
      <c r="C794" s="30"/>
      <c r="D794" s="31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  <c r="AL794" s="30"/>
      <c r="AM794" s="30"/>
      <c r="AN794" s="30"/>
      <c r="AO794" s="30"/>
      <c r="AP794" s="30"/>
      <c r="AQ794" s="30"/>
      <c r="AR794" s="30"/>
      <c r="AS794" s="30"/>
    </row>
    <row r="795" customFormat="false" ht="15.75" hidden="false" customHeight="false" outlineLevel="0" collapsed="false">
      <c r="A795" s="30"/>
      <c r="B795" s="30"/>
      <c r="C795" s="30"/>
      <c r="D795" s="31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  <c r="AL795" s="30"/>
      <c r="AM795" s="30"/>
      <c r="AN795" s="30"/>
      <c r="AO795" s="30"/>
      <c r="AP795" s="30"/>
      <c r="AQ795" s="30"/>
      <c r="AR795" s="30"/>
      <c r="AS795" s="30"/>
    </row>
    <row r="796" customFormat="false" ht="15.75" hidden="false" customHeight="false" outlineLevel="0" collapsed="false">
      <c r="A796" s="30"/>
      <c r="B796" s="30"/>
      <c r="C796" s="30"/>
      <c r="D796" s="31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  <c r="AL796" s="30"/>
      <c r="AM796" s="30"/>
      <c r="AN796" s="30"/>
      <c r="AO796" s="30"/>
      <c r="AP796" s="30"/>
      <c r="AQ796" s="30"/>
      <c r="AR796" s="30"/>
      <c r="AS796" s="30"/>
    </row>
    <row r="797" customFormat="false" ht="15.75" hidden="false" customHeight="false" outlineLevel="0" collapsed="false">
      <c r="A797" s="30"/>
      <c r="B797" s="30"/>
      <c r="C797" s="30"/>
      <c r="D797" s="31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  <c r="AL797" s="30"/>
      <c r="AM797" s="30"/>
      <c r="AN797" s="30"/>
      <c r="AO797" s="30"/>
      <c r="AP797" s="30"/>
      <c r="AQ797" s="30"/>
      <c r="AR797" s="30"/>
      <c r="AS797" s="30"/>
    </row>
    <row r="798" customFormat="false" ht="15.75" hidden="false" customHeight="false" outlineLevel="0" collapsed="false">
      <c r="A798" s="30"/>
      <c r="B798" s="30"/>
      <c r="C798" s="30"/>
      <c r="D798" s="31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  <c r="AL798" s="30"/>
      <c r="AM798" s="30"/>
      <c r="AN798" s="30"/>
      <c r="AO798" s="30"/>
      <c r="AP798" s="30"/>
      <c r="AQ798" s="30"/>
      <c r="AR798" s="30"/>
      <c r="AS798" s="30"/>
    </row>
    <row r="799" customFormat="false" ht="15.75" hidden="false" customHeight="false" outlineLevel="0" collapsed="false">
      <c r="A799" s="30"/>
      <c r="B799" s="30"/>
      <c r="C799" s="30"/>
      <c r="D799" s="31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  <c r="AL799" s="30"/>
      <c r="AM799" s="30"/>
      <c r="AN799" s="30"/>
      <c r="AO799" s="30"/>
      <c r="AP799" s="30"/>
      <c r="AQ799" s="30"/>
      <c r="AR799" s="30"/>
      <c r="AS799" s="30"/>
    </row>
    <row r="800" customFormat="false" ht="15.75" hidden="false" customHeight="false" outlineLevel="0" collapsed="false">
      <c r="A800" s="30"/>
      <c r="B800" s="30"/>
      <c r="C800" s="30"/>
      <c r="D800" s="31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  <c r="AL800" s="30"/>
      <c r="AM800" s="30"/>
      <c r="AN800" s="30"/>
      <c r="AO800" s="30"/>
      <c r="AP800" s="30"/>
      <c r="AQ800" s="30"/>
      <c r="AR800" s="30"/>
      <c r="AS800" s="30"/>
    </row>
    <row r="801" customFormat="false" ht="15.75" hidden="false" customHeight="false" outlineLevel="0" collapsed="false">
      <c r="A801" s="30"/>
      <c r="B801" s="30"/>
      <c r="C801" s="30"/>
      <c r="D801" s="31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  <c r="AL801" s="30"/>
      <c r="AM801" s="30"/>
      <c r="AN801" s="30"/>
      <c r="AO801" s="30"/>
      <c r="AP801" s="30"/>
      <c r="AQ801" s="30"/>
      <c r="AR801" s="30"/>
      <c r="AS801" s="30"/>
    </row>
    <row r="802" customFormat="false" ht="15.75" hidden="false" customHeight="false" outlineLevel="0" collapsed="false">
      <c r="A802" s="30"/>
      <c r="B802" s="30"/>
      <c r="C802" s="30"/>
      <c r="D802" s="31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  <c r="AL802" s="30"/>
      <c r="AM802" s="30"/>
      <c r="AN802" s="30"/>
      <c r="AO802" s="30"/>
      <c r="AP802" s="30"/>
      <c r="AQ802" s="30"/>
      <c r="AR802" s="30"/>
      <c r="AS802" s="30"/>
    </row>
    <row r="803" customFormat="false" ht="15.75" hidden="false" customHeight="false" outlineLevel="0" collapsed="false">
      <c r="A803" s="30"/>
      <c r="B803" s="30"/>
      <c r="C803" s="30"/>
      <c r="D803" s="31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  <c r="AL803" s="30"/>
      <c r="AM803" s="30"/>
      <c r="AN803" s="30"/>
      <c r="AO803" s="30"/>
      <c r="AP803" s="30"/>
      <c r="AQ803" s="30"/>
      <c r="AR803" s="30"/>
      <c r="AS803" s="30"/>
    </row>
    <row r="804" customFormat="false" ht="15.75" hidden="false" customHeight="false" outlineLevel="0" collapsed="false">
      <c r="A804" s="30"/>
      <c r="B804" s="30"/>
      <c r="C804" s="30"/>
      <c r="D804" s="31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  <c r="AL804" s="30"/>
      <c r="AM804" s="30"/>
      <c r="AN804" s="30"/>
      <c r="AO804" s="30"/>
      <c r="AP804" s="30"/>
      <c r="AQ804" s="30"/>
      <c r="AR804" s="30"/>
      <c r="AS804" s="30"/>
    </row>
    <row r="805" customFormat="false" ht="15.75" hidden="false" customHeight="false" outlineLevel="0" collapsed="false">
      <c r="A805" s="30"/>
      <c r="B805" s="30"/>
      <c r="C805" s="30"/>
      <c r="D805" s="31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  <c r="AL805" s="30"/>
      <c r="AM805" s="30"/>
      <c r="AN805" s="30"/>
      <c r="AO805" s="30"/>
      <c r="AP805" s="30"/>
      <c r="AQ805" s="30"/>
      <c r="AR805" s="30"/>
      <c r="AS805" s="30"/>
    </row>
    <row r="806" customFormat="false" ht="15.75" hidden="false" customHeight="false" outlineLevel="0" collapsed="false">
      <c r="A806" s="30"/>
      <c r="B806" s="30"/>
      <c r="C806" s="30"/>
      <c r="D806" s="31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  <c r="AL806" s="30"/>
      <c r="AM806" s="30"/>
      <c r="AN806" s="30"/>
      <c r="AO806" s="30"/>
      <c r="AP806" s="30"/>
      <c r="AQ806" s="30"/>
      <c r="AR806" s="30"/>
      <c r="AS806" s="30"/>
    </row>
    <row r="807" customFormat="false" ht="15.75" hidden="false" customHeight="false" outlineLevel="0" collapsed="false">
      <c r="A807" s="30"/>
      <c r="B807" s="30"/>
      <c r="C807" s="30"/>
      <c r="D807" s="31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  <c r="AL807" s="30"/>
      <c r="AM807" s="30"/>
      <c r="AN807" s="30"/>
      <c r="AO807" s="30"/>
      <c r="AP807" s="30"/>
      <c r="AQ807" s="30"/>
      <c r="AR807" s="30"/>
      <c r="AS807" s="30"/>
    </row>
    <row r="808" customFormat="false" ht="15.75" hidden="false" customHeight="false" outlineLevel="0" collapsed="false">
      <c r="A808" s="30"/>
      <c r="B808" s="30"/>
      <c r="C808" s="30"/>
      <c r="D808" s="31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  <c r="AL808" s="30"/>
      <c r="AM808" s="30"/>
      <c r="AN808" s="30"/>
      <c r="AO808" s="30"/>
      <c r="AP808" s="30"/>
      <c r="AQ808" s="30"/>
      <c r="AR808" s="30"/>
      <c r="AS808" s="30"/>
    </row>
    <row r="809" customFormat="false" ht="15.75" hidden="false" customHeight="false" outlineLevel="0" collapsed="false">
      <c r="A809" s="30"/>
      <c r="B809" s="30"/>
      <c r="C809" s="30"/>
      <c r="D809" s="31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  <c r="AL809" s="30"/>
      <c r="AM809" s="30"/>
      <c r="AN809" s="30"/>
      <c r="AO809" s="30"/>
      <c r="AP809" s="30"/>
      <c r="AQ809" s="30"/>
      <c r="AR809" s="30"/>
      <c r="AS809" s="30"/>
    </row>
    <row r="810" customFormat="false" ht="15.75" hidden="false" customHeight="false" outlineLevel="0" collapsed="false">
      <c r="A810" s="30"/>
      <c r="B810" s="30"/>
      <c r="C810" s="30"/>
      <c r="D810" s="31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  <c r="AL810" s="30"/>
      <c r="AM810" s="30"/>
      <c r="AN810" s="30"/>
      <c r="AO810" s="30"/>
      <c r="AP810" s="30"/>
      <c r="AQ810" s="30"/>
      <c r="AR810" s="30"/>
      <c r="AS810" s="30"/>
    </row>
    <row r="811" customFormat="false" ht="15.75" hidden="false" customHeight="false" outlineLevel="0" collapsed="false">
      <c r="A811" s="30"/>
      <c r="B811" s="30"/>
      <c r="C811" s="30"/>
      <c r="D811" s="31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  <c r="AL811" s="30"/>
      <c r="AM811" s="30"/>
      <c r="AN811" s="30"/>
      <c r="AO811" s="30"/>
      <c r="AP811" s="30"/>
      <c r="AQ811" s="30"/>
      <c r="AR811" s="30"/>
      <c r="AS811" s="30"/>
    </row>
    <row r="812" customFormat="false" ht="15.75" hidden="false" customHeight="false" outlineLevel="0" collapsed="false">
      <c r="A812" s="30"/>
      <c r="B812" s="30"/>
      <c r="C812" s="30"/>
      <c r="D812" s="31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  <c r="AL812" s="30"/>
      <c r="AM812" s="30"/>
      <c r="AN812" s="30"/>
      <c r="AO812" s="30"/>
      <c r="AP812" s="30"/>
      <c r="AQ812" s="30"/>
      <c r="AR812" s="30"/>
      <c r="AS812" s="30"/>
    </row>
    <row r="813" customFormat="false" ht="15.75" hidden="false" customHeight="false" outlineLevel="0" collapsed="false">
      <c r="A813" s="30"/>
      <c r="B813" s="30"/>
      <c r="C813" s="30"/>
      <c r="D813" s="31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  <c r="AL813" s="30"/>
      <c r="AM813" s="30"/>
      <c r="AN813" s="30"/>
      <c r="AO813" s="30"/>
      <c r="AP813" s="30"/>
      <c r="AQ813" s="30"/>
      <c r="AR813" s="30"/>
      <c r="AS813" s="30"/>
    </row>
    <row r="814" customFormat="false" ht="15.75" hidden="false" customHeight="false" outlineLevel="0" collapsed="false">
      <c r="A814" s="30"/>
      <c r="B814" s="30"/>
      <c r="C814" s="30"/>
      <c r="D814" s="31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  <c r="AL814" s="30"/>
      <c r="AM814" s="30"/>
      <c r="AN814" s="30"/>
      <c r="AO814" s="30"/>
      <c r="AP814" s="30"/>
      <c r="AQ814" s="30"/>
      <c r="AR814" s="30"/>
      <c r="AS814" s="30"/>
    </row>
    <row r="815" customFormat="false" ht="15.75" hidden="false" customHeight="false" outlineLevel="0" collapsed="false">
      <c r="A815" s="30"/>
      <c r="B815" s="30"/>
      <c r="C815" s="30"/>
      <c r="D815" s="31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  <c r="AL815" s="30"/>
      <c r="AM815" s="30"/>
      <c r="AN815" s="30"/>
      <c r="AO815" s="30"/>
      <c r="AP815" s="30"/>
      <c r="AQ815" s="30"/>
      <c r="AR815" s="30"/>
      <c r="AS815" s="30"/>
    </row>
    <row r="816" customFormat="false" ht="15.75" hidden="false" customHeight="false" outlineLevel="0" collapsed="false">
      <c r="A816" s="30"/>
      <c r="B816" s="30"/>
      <c r="C816" s="30"/>
      <c r="D816" s="31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  <c r="AL816" s="30"/>
      <c r="AM816" s="30"/>
      <c r="AN816" s="30"/>
      <c r="AO816" s="30"/>
      <c r="AP816" s="30"/>
      <c r="AQ816" s="30"/>
      <c r="AR816" s="30"/>
      <c r="AS816" s="30"/>
    </row>
    <row r="817" customFormat="false" ht="15.75" hidden="false" customHeight="false" outlineLevel="0" collapsed="false">
      <c r="A817" s="30"/>
      <c r="B817" s="30"/>
      <c r="C817" s="30"/>
      <c r="D817" s="31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  <c r="AL817" s="30"/>
      <c r="AM817" s="30"/>
      <c r="AN817" s="30"/>
      <c r="AO817" s="30"/>
      <c r="AP817" s="30"/>
      <c r="AQ817" s="30"/>
      <c r="AR817" s="30"/>
      <c r="AS817" s="30"/>
    </row>
    <row r="818" customFormat="false" ht="15.75" hidden="false" customHeight="false" outlineLevel="0" collapsed="false">
      <c r="A818" s="30"/>
      <c r="B818" s="30"/>
      <c r="C818" s="30"/>
      <c r="D818" s="31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  <c r="AL818" s="30"/>
      <c r="AM818" s="30"/>
      <c r="AN818" s="30"/>
      <c r="AO818" s="30"/>
      <c r="AP818" s="30"/>
      <c r="AQ818" s="30"/>
      <c r="AR818" s="30"/>
      <c r="AS818" s="30"/>
    </row>
    <row r="819" customFormat="false" ht="15.75" hidden="false" customHeight="false" outlineLevel="0" collapsed="false">
      <c r="A819" s="30"/>
      <c r="B819" s="30"/>
      <c r="C819" s="30"/>
      <c r="D819" s="31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  <c r="AL819" s="30"/>
      <c r="AM819" s="30"/>
      <c r="AN819" s="30"/>
      <c r="AO819" s="30"/>
      <c r="AP819" s="30"/>
      <c r="AQ819" s="30"/>
      <c r="AR819" s="30"/>
      <c r="AS819" s="30"/>
    </row>
    <row r="820" customFormat="false" ht="15.75" hidden="false" customHeight="false" outlineLevel="0" collapsed="false">
      <c r="A820" s="30"/>
      <c r="B820" s="30"/>
      <c r="C820" s="30"/>
      <c r="D820" s="31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  <c r="AL820" s="30"/>
      <c r="AM820" s="30"/>
      <c r="AN820" s="30"/>
      <c r="AO820" s="30"/>
      <c r="AP820" s="30"/>
      <c r="AQ820" s="30"/>
      <c r="AR820" s="30"/>
      <c r="AS820" s="30"/>
    </row>
    <row r="821" customFormat="false" ht="15.75" hidden="false" customHeight="false" outlineLevel="0" collapsed="false">
      <c r="A821" s="30"/>
      <c r="B821" s="30"/>
      <c r="C821" s="30"/>
      <c r="D821" s="31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  <c r="AL821" s="30"/>
      <c r="AM821" s="30"/>
      <c r="AN821" s="30"/>
      <c r="AO821" s="30"/>
      <c r="AP821" s="30"/>
      <c r="AQ821" s="30"/>
      <c r="AR821" s="30"/>
      <c r="AS821" s="30"/>
    </row>
    <row r="822" customFormat="false" ht="15.75" hidden="false" customHeight="false" outlineLevel="0" collapsed="false">
      <c r="A822" s="30"/>
      <c r="B822" s="30"/>
      <c r="C822" s="30"/>
      <c r="D822" s="31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30"/>
      <c r="AM822" s="30"/>
      <c r="AN822" s="30"/>
      <c r="AO822" s="30"/>
      <c r="AP822" s="30"/>
      <c r="AQ822" s="30"/>
      <c r="AR822" s="30"/>
      <c r="AS822" s="30"/>
    </row>
    <row r="823" customFormat="false" ht="15.75" hidden="false" customHeight="false" outlineLevel="0" collapsed="false">
      <c r="A823" s="30"/>
      <c r="B823" s="30"/>
      <c r="C823" s="30"/>
      <c r="D823" s="31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  <c r="AL823" s="30"/>
      <c r="AM823" s="30"/>
      <c r="AN823" s="30"/>
      <c r="AO823" s="30"/>
      <c r="AP823" s="30"/>
      <c r="AQ823" s="30"/>
      <c r="AR823" s="30"/>
      <c r="AS823" s="30"/>
    </row>
    <row r="824" customFormat="false" ht="15.75" hidden="false" customHeight="false" outlineLevel="0" collapsed="false">
      <c r="A824" s="30"/>
      <c r="B824" s="30"/>
      <c r="C824" s="30"/>
      <c r="D824" s="31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  <c r="AL824" s="30"/>
      <c r="AM824" s="30"/>
      <c r="AN824" s="30"/>
      <c r="AO824" s="30"/>
      <c r="AP824" s="30"/>
      <c r="AQ824" s="30"/>
      <c r="AR824" s="30"/>
      <c r="AS824" s="30"/>
    </row>
    <row r="825" customFormat="false" ht="15.75" hidden="false" customHeight="false" outlineLevel="0" collapsed="false">
      <c r="A825" s="30"/>
      <c r="B825" s="30"/>
      <c r="C825" s="30"/>
      <c r="D825" s="31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  <c r="AL825" s="30"/>
      <c r="AM825" s="30"/>
      <c r="AN825" s="30"/>
      <c r="AO825" s="30"/>
      <c r="AP825" s="30"/>
      <c r="AQ825" s="30"/>
      <c r="AR825" s="30"/>
      <c r="AS825" s="30"/>
    </row>
    <row r="826" customFormat="false" ht="15.75" hidden="false" customHeight="false" outlineLevel="0" collapsed="false">
      <c r="A826" s="30"/>
      <c r="B826" s="30"/>
      <c r="C826" s="30"/>
      <c r="D826" s="31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  <c r="AL826" s="30"/>
      <c r="AM826" s="30"/>
      <c r="AN826" s="30"/>
      <c r="AO826" s="30"/>
      <c r="AP826" s="30"/>
      <c r="AQ826" s="30"/>
      <c r="AR826" s="30"/>
      <c r="AS826" s="30"/>
    </row>
    <row r="827" customFormat="false" ht="15.75" hidden="false" customHeight="false" outlineLevel="0" collapsed="false">
      <c r="A827" s="30"/>
      <c r="B827" s="30"/>
      <c r="C827" s="30"/>
      <c r="D827" s="31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  <c r="AL827" s="30"/>
      <c r="AM827" s="30"/>
      <c r="AN827" s="30"/>
      <c r="AO827" s="30"/>
      <c r="AP827" s="30"/>
      <c r="AQ827" s="30"/>
      <c r="AR827" s="30"/>
      <c r="AS827" s="30"/>
    </row>
    <row r="828" customFormat="false" ht="15.75" hidden="false" customHeight="false" outlineLevel="0" collapsed="false">
      <c r="A828" s="30"/>
      <c r="B828" s="30"/>
      <c r="C828" s="30"/>
      <c r="D828" s="31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  <c r="AL828" s="30"/>
      <c r="AM828" s="30"/>
      <c r="AN828" s="30"/>
      <c r="AO828" s="30"/>
      <c r="AP828" s="30"/>
      <c r="AQ828" s="30"/>
      <c r="AR828" s="30"/>
      <c r="AS828" s="30"/>
    </row>
    <row r="829" customFormat="false" ht="15.75" hidden="false" customHeight="false" outlineLevel="0" collapsed="false">
      <c r="A829" s="30"/>
      <c r="B829" s="30"/>
      <c r="C829" s="30"/>
      <c r="D829" s="31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  <c r="AL829" s="30"/>
      <c r="AM829" s="30"/>
      <c r="AN829" s="30"/>
      <c r="AO829" s="30"/>
      <c r="AP829" s="30"/>
      <c r="AQ829" s="30"/>
      <c r="AR829" s="30"/>
      <c r="AS829" s="30"/>
    </row>
    <row r="830" customFormat="false" ht="15.75" hidden="false" customHeight="false" outlineLevel="0" collapsed="false">
      <c r="A830" s="30"/>
      <c r="B830" s="30"/>
      <c r="C830" s="30"/>
      <c r="D830" s="31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  <c r="AL830" s="30"/>
      <c r="AM830" s="30"/>
      <c r="AN830" s="30"/>
      <c r="AO830" s="30"/>
      <c r="AP830" s="30"/>
      <c r="AQ830" s="30"/>
      <c r="AR830" s="30"/>
      <c r="AS830" s="30"/>
    </row>
    <row r="831" customFormat="false" ht="15.75" hidden="false" customHeight="false" outlineLevel="0" collapsed="false">
      <c r="A831" s="30"/>
      <c r="B831" s="30"/>
      <c r="C831" s="30"/>
      <c r="D831" s="31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  <c r="AL831" s="30"/>
      <c r="AM831" s="30"/>
      <c r="AN831" s="30"/>
      <c r="AO831" s="30"/>
      <c r="AP831" s="30"/>
      <c r="AQ831" s="30"/>
      <c r="AR831" s="30"/>
      <c r="AS831" s="30"/>
    </row>
    <row r="832" customFormat="false" ht="15.75" hidden="false" customHeight="false" outlineLevel="0" collapsed="false">
      <c r="A832" s="30"/>
      <c r="B832" s="30"/>
      <c r="C832" s="30"/>
      <c r="D832" s="31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  <c r="AL832" s="30"/>
      <c r="AM832" s="30"/>
      <c r="AN832" s="30"/>
      <c r="AO832" s="30"/>
      <c r="AP832" s="30"/>
      <c r="AQ832" s="30"/>
      <c r="AR832" s="30"/>
      <c r="AS832" s="30"/>
    </row>
    <row r="833" customFormat="false" ht="15.75" hidden="false" customHeight="false" outlineLevel="0" collapsed="false">
      <c r="A833" s="30"/>
      <c r="B833" s="30"/>
      <c r="C833" s="30"/>
      <c r="D833" s="31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  <c r="AL833" s="30"/>
      <c r="AM833" s="30"/>
      <c r="AN833" s="30"/>
      <c r="AO833" s="30"/>
      <c r="AP833" s="30"/>
      <c r="AQ833" s="30"/>
      <c r="AR833" s="30"/>
      <c r="AS833" s="30"/>
    </row>
    <row r="834" customFormat="false" ht="15.75" hidden="false" customHeight="false" outlineLevel="0" collapsed="false">
      <c r="A834" s="30"/>
      <c r="B834" s="30"/>
      <c r="C834" s="30"/>
      <c r="D834" s="31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  <c r="AL834" s="30"/>
      <c r="AM834" s="30"/>
      <c r="AN834" s="30"/>
      <c r="AO834" s="30"/>
      <c r="AP834" s="30"/>
      <c r="AQ834" s="30"/>
      <c r="AR834" s="30"/>
      <c r="AS834" s="30"/>
    </row>
    <row r="835" customFormat="false" ht="15.75" hidden="false" customHeight="false" outlineLevel="0" collapsed="false">
      <c r="A835" s="30"/>
      <c r="B835" s="30"/>
      <c r="C835" s="30"/>
      <c r="D835" s="31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  <c r="AL835" s="30"/>
      <c r="AM835" s="30"/>
      <c r="AN835" s="30"/>
      <c r="AO835" s="30"/>
      <c r="AP835" s="30"/>
      <c r="AQ835" s="30"/>
      <c r="AR835" s="30"/>
      <c r="AS835" s="30"/>
    </row>
    <row r="836" customFormat="false" ht="15.75" hidden="false" customHeight="false" outlineLevel="0" collapsed="false">
      <c r="A836" s="30"/>
      <c r="B836" s="30"/>
      <c r="C836" s="30"/>
      <c r="D836" s="31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  <c r="AL836" s="30"/>
      <c r="AM836" s="30"/>
      <c r="AN836" s="30"/>
      <c r="AO836" s="30"/>
      <c r="AP836" s="30"/>
      <c r="AQ836" s="30"/>
      <c r="AR836" s="30"/>
      <c r="AS836" s="30"/>
    </row>
    <row r="837" customFormat="false" ht="15.75" hidden="false" customHeight="false" outlineLevel="0" collapsed="false">
      <c r="A837" s="30"/>
      <c r="B837" s="30"/>
      <c r="C837" s="30"/>
      <c r="D837" s="31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  <c r="AL837" s="30"/>
      <c r="AM837" s="30"/>
      <c r="AN837" s="30"/>
      <c r="AO837" s="30"/>
      <c r="AP837" s="30"/>
      <c r="AQ837" s="30"/>
      <c r="AR837" s="30"/>
      <c r="AS837" s="30"/>
    </row>
    <row r="838" customFormat="false" ht="15.75" hidden="false" customHeight="false" outlineLevel="0" collapsed="false">
      <c r="A838" s="30"/>
      <c r="B838" s="30"/>
      <c r="C838" s="30"/>
      <c r="D838" s="31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  <c r="AL838" s="30"/>
      <c r="AM838" s="30"/>
      <c r="AN838" s="30"/>
      <c r="AO838" s="30"/>
      <c r="AP838" s="30"/>
      <c r="AQ838" s="30"/>
      <c r="AR838" s="30"/>
      <c r="AS838" s="30"/>
    </row>
    <row r="839" customFormat="false" ht="15.75" hidden="false" customHeight="false" outlineLevel="0" collapsed="false">
      <c r="A839" s="30"/>
      <c r="B839" s="30"/>
      <c r="C839" s="30"/>
      <c r="D839" s="31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  <c r="AL839" s="30"/>
      <c r="AM839" s="30"/>
      <c r="AN839" s="30"/>
      <c r="AO839" s="30"/>
      <c r="AP839" s="30"/>
      <c r="AQ839" s="30"/>
      <c r="AR839" s="30"/>
      <c r="AS839" s="30"/>
    </row>
    <row r="840" customFormat="false" ht="15.75" hidden="false" customHeight="false" outlineLevel="0" collapsed="false">
      <c r="A840" s="30"/>
      <c r="B840" s="30"/>
      <c r="C840" s="30"/>
      <c r="D840" s="31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  <c r="AL840" s="30"/>
      <c r="AM840" s="30"/>
      <c r="AN840" s="30"/>
      <c r="AO840" s="30"/>
      <c r="AP840" s="30"/>
      <c r="AQ840" s="30"/>
      <c r="AR840" s="30"/>
      <c r="AS840" s="30"/>
    </row>
    <row r="841" customFormat="false" ht="15.75" hidden="false" customHeight="false" outlineLevel="0" collapsed="false">
      <c r="A841" s="30"/>
      <c r="B841" s="30"/>
      <c r="C841" s="30"/>
      <c r="D841" s="31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  <c r="AL841" s="30"/>
      <c r="AM841" s="30"/>
      <c r="AN841" s="30"/>
      <c r="AO841" s="30"/>
      <c r="AP841" s="30"/>
      <c r="AQ841" s="30"/>
      <c r="AR841" s="30"/>
      <c r="AS841" s="30"/>
    </row>
    <row r="842" customFormat="false" ht="15.75" hidden="false" customHeight="false" outlineLevel="0" collapsed="false">
      <c r="A842" s="30"/>
      <c r="B842" s="30"/>
      <c r="C842" s="30"/>
      <c r="D842" s="31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  <c r="AL842" s="30"/>
      <c r="AM842" s="30"/>
      <c r="AN842" s="30"/>
      <c r="AO842" s="30"/>
      <c r="AP842" s="30"/>
      <c r="AQ842" s="30"/>
      <c r="AR842" s="30"/>
      <c r="AS842" s="30"/>
    </row>
    <row r="843" customFormat="false" ht="15.75" hidden="false" customHeight="false" outlineLevel="0" collapsed="false">
      <c r="A843" s="30"/>
      <c r="B843" s="30"/>
      <c r="C843" s="30"/>
      <c r="D843" s="31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  <c r="AL843" s="30"/>
      <c r="AM843" s="30"/>
      <c r="AN843" s="30"/>
      <c r="AO843" s="30"/>
      <c r="AP843" s="30"/>
      <c r="AQ843" s="30"/>
      <c r="AR843" s="30"/>
      <c r="AS843" s="30"/>
    </row>
    <row r="844" customFormat="false" ht="15.75" hidden="false" customHeight="false" outlineLevel="0" collapsed="false">
      <c r="A844" s="30"/>
      <c r="B844" s="30"/>
      <c r="C844" s="30"/>
      <c r="D844" s="31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  <c r="AL844" s="30"/>
      <c r="AM844" s="30"/>
      <c r="AN844" s="30"/>
      <c r="AO844" s="30"/>
      <c r="AP844" s="30"/>
      <c r="AQ844" s="30"/>
      <c r="AR844" s="30"/>
      <c r="AS844" s="30"/>
    </row>
    <row r="845" customFormat="false" ht="15.75" hidden="false" customHeight="false" outlineLevel="0" collapsed="false">
      <c r="A845" s="30"/>
      <c r="B845" s="30"/>
      <c r="C845" s="30"/>
      <c r="D845" s="31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  <c r="AL845" s="30"/>
      <c r="AM845" s="30"/>
      <c r="AN845" s="30"/>
      <c r="AO845" s="30"/>
      <c r="AP845" s="30"/>
      <c r="AQ845" s="30"/>
      <c r="AR845" s="30"/>
      <c r="AS845" s="30"/>
    </row>
    <row r="846" customFormat="false" ht="15.75" hidden="false" customHeight="false" outlineLevel="0" collapsed="false">
      <c r="A846" s="30"/>
      <c r="B846" s="30"/>
      <c r="C846" s="30"/>
      <c r="D846" s="31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  <c r="AL846" s="30"/>
      <c r="AM846" s="30"/>
      <c r="AN846" s="30"/>
      <c r="AO846" s="30"/>
      <c r="AP846" s="30"/>
      <c r="AQ846" s="30"/>
      <c r="AR846" s="30"/>
      <c r="AS846" s="30"/>
    </row>
    <row r="847" customFormat="false" ht="15.75" hidden="false" customHeight="false" outlineLevel="0" collapsed="false">
      <c r="A847" s="30"/>
      <c r="B847" s="30"/>
      <c r="C847" s="30"/>
      <c r="D847" s="31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  <c r="AL847" s="30"/>
      <c r="AM847" s="30"/>
      <c r="AN847" s="30"/>
      <c r="AO847" s="30"/>
      <c r="AP847" s="30"/>
      <c r="AQ847" s="30"/>
      <c r="AR847" s="30"/>
      <c r="AS847" s="30"/>
    </row>
    <row r="848" customFormat="false" ht="15.75" hidden="false" customHeight="false" outlineLevel="0" collapsed="false">
      <c r="A848" s="30"/>
      <c r="B848" s="30"/>
      <c r="C848" s="30"/>
      <c r="D848" s="31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  <c r="AL848" s="30"/>
      <c r="AM848" s="30"/>
      <c r="AN848" s="30"/>
      <c r="AO848" s="30"/>
      <c r="AP848" s="30"/>
      <c r="AQ848" s="30"/>
      <c r="AR848" s="30"/>
      <c r="AS848" s="30"/>
    </row>
    <row r="849" customFormat="false" ht="15.75" hidden="false" customHeight="false" outlineLevel="0" collapsed="false">
      <c r="A849" s="30"/>
      <c r="B849" s="30"/>
      <c r="C849" s="30"/>
      <c r="D849" s="31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  <c r="AL849" s="30"/>
      <c r="AM849" s="30"/>
      <c r="AN849" s="30"/>
      <c r="AO849" s="30"/>
      <c r="AP849" s="30"/>
      <c r="AQ849" s="30"/>
      <c r="AR849" s="30"/>
      <c r="AS849" s="30"/>
    </row>
    <row r="850" customFormat="false" ht="15.75" hidden="false" customHeight="false" outlineLevel="0" collapsed="false">
      <c r="A850" s="30"/>
      <c r="B850" s="30"/>
      <c r="C850" s="30"/>
      <c r="D850" s="31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  <c r="AL850" s="30"/>
      <c r="AM850" s="30"/>
      <c r="AN850" s="30"/>
      <c r="AO850" s="30"/>
      <c r="AP850" s="30"/>
      <c r="AQ850" s="30"/>
      <c r="AR850" s="30"/>
      <c r="AS850" s="30"/>
    </row>
    <row r="851" customFormat="false" ht="15.75" hidden="false" customHeight="false" outlineLevel="0" collapsed="false">
      <c r="A851" s="30"/>
      <c r="B851" s="30"/>
      <c r="C851" s="30"/>
      <c r="D851" s="31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  <c r="AL851" s="30"/>
      <c r="AM851" s="30"/>
      <c r="AN851" s="30"/>
      <c r="AO851" s="30"/>
      <c r="AP851" s="30"/>
      <c r="AQ851" s="30"/>
      <c r="AR851" s="30"/>
      <c r="AS851" s="30"/>
    </row>
    <row r="852" customFormat="false" ht="15.75" hidden="false" customHeight="false" outlineLevel="0" collapsed="false">
      <c r="A852" s="30"/>
      <c r="B852" s="30"/>
      <c r="C852" s="30"/>
      <c r="D852" s="31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  <c r="AL852" s="30"/>
      <c r="AM852" s="30"/>
      <c r="AN852" s="30"/>
      <c r="AO852" s="30"/>
      <c r="AP852" s="30"/>
      <c r="AQ852" s="30"/>
      <c r="AR852" s="30"/>
      <c r="AS852" s="30"/>
    </row>
    <row r="853" customFormat="false" ht="15.75" hidden="false" customHeight="false" outlineLevel="0" collapsed="false">
      <c r="A853" s="30"/>
      <c r="B853" s="30"/>
      <c r="C853" s="30"/>
      <c r="D853" s="31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  <c r="AL853" s="30"/>
      <c r="AM853" s="30"/>
      <c r="AN853" s="30"/>
      <c r="AO853" s="30"/>
      <c r="AP853" s="30"/>
      <c r="AQ853" s="30"/>
      <c r="AR853" s="30"/>
      <c r="AS853" s="30"/>
    </row>
    <row r="854" customFormat="false" ht="15.75" hidden="false" customHeight="false" outlineLevel="0" collapsed="false">
      <c r="A854" s="30"/>
      <c r="B854" s="30"/>
      <c r="C854" s="30"/>
      <c r="D854" s="31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  <c r="AL854" s="30"/>
      <c r="AM854" s="30"/>
      <c r="AN854" s="30"/>
      <c r="AO854" s="30"/>
      <c r="AP854" s="30"/>
      <c r="AQ854" s="30"/>
      <c r="AR854" s="30"/>
      <c r="AS854" s="30"/>
    </row>
    <row r="855" customFormat="false" ht="15.75" hidden="false" customHeight="false" outlineLevel="0" collapsed="false">
      <c r="A855" s="30"/>
      <c r="B855" s="30"/>
      <c r="C855" s="30"/>
      <c r="D855" s="31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  <c r="AL855" s="30"/>
      <c r="AM855" s="30"/>
      <c r="AN855" s="30"/>
      <c r="AO855" s="30"/>
      <c r="AP855" s="30"/>
      <c r="AQ855" s="30"/>
      <c r="AR855" s="30"/>
      <c r="AS855" s="30"/>
    </row>
    <row r="856" customFormat="false" ht="15.75" hidden="false" customHeight="false" outlineLevel="0" collapsed="false">
      <c r="A856" s="30"/>
      <c r="B856" s="30"/>
      <c r="C856" s="30"/>
      <c r="D856" s="31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  <c r="AL856" s="30"/>
      <c r="AM856" s="30"/>
      <c r="AN856" s="30"/>
      <c r="AO856" s="30"/>
      <c r="AP856" s="30"/>
      <c r="AQ856" s="30"/>
      <c r="AR856" s="30"/>
      <c r="AS856" s="30"/>
    </row>
    <row r="857" customFormat="false" ht="15.75" hidden="false" customHeight="false" outlineLevel="0" collapsed="false">
      <c r="A857" s="30"/>
      <c r="B857" s="30"/>
      <c r="C857" s="30"/>
      <c r="D857" s="31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  <c r="AL857" s="30"/>
      <c r="AM857" s="30"/>
      <c r="AN857" s="30"/>
      <c r="AO857" s="30"/>
      <c r="AP857" s="30"/>
      <c r="AQ857" s="30"/>
      <c r="AR857" s="30"/>
      <c r="AS857" s="30"/>
    </row>
    <row r="858" customFormat="false" ht="15.75" hidden="false" customHeight="false" outlineLevel="0" collapsed="false">
      <c r="A858" s="30"/>
      <c r="B858" s="30"/>
      <c r="C858" s="30"/>
      <c r="D858" s="31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  <c r="AL858" s="30"/>
      <c r="AM858" s="30"/>
      <c r="AN858" s="30"/>
      <c r="AO858" s="30"/>
      <c r="AP858" s="30"/>
      <c r="AQ858" s="30"/>
      <c r="AR858" s="30"/>
      <c r="AS858" s="30"/>
    </row>
    <row r="859" customFormat="false" ht="15.75" hidden="false" customHeight="false" outlineLevel="0" collapsed="false">
      <c r="A859" s="30"/>
      <c r="B859" s="30"/>
      <c r="C859" s="30"/>
      <c r="D859" s="31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  <c r="AL859" s="30"/>
      <c r="AM859" s="30"/>
      <c r="AN859" s="30"/>
      <c r="AO859" s="30"/>
      <c r="AP859" s="30"/>
      <c r="AQ859" s="30"/>
      <c r="AR859" s="30"/>
      <c r="AS859" s="30"/>
    </row>
    <row r="860" customFormat="false" ht="15.75" hidden="false" customHeight="false" outlineLevel="0" collapsed="false">
      <c r="A860" s="30"/>
      <c r="B860" s="30"/>
      <c r="C860" s="30"/>
      <c r="D860" s="31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  <c r="AL860" s="30"/>
      <c r="AM860" s="30"/>
      <c r="AN860" s="30"/>
      <c r="AO860" s="30"/>
      <c r="AP860" s="30"/>
      <c r="AQ860" s="30"/>
      <c r="AR860" s="30"/>
      <c r="AS860" s="30"/>
    </row>
    <row r="861" customFormat="false" ht="15.75" hidden="false" customHeight="false" outlineLevel="0" collapsed="false">
      <c r="A861" s="30"/>
      <c r="B861" s="30"/>
      <c r="C861" s="30"/>
      <c r="D861" s="31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  <c r="AL861" s="30"/>
      <c r="AM861" s="30"/>
      <c r="AN861" s="30"/>
      <c r="AO861" s="30"/>
      <c r="AP861" s="30"/>
      <c r="AQ861" s="30"/>
      <c r="AR861" s="30"/>
      <c r="AS861" s="30"/>
    </row>
    <row r="862" customFormat="false" ht="15.75" hidden="false" customHeight="false" outlineLevel="0" collapsed="false">
      <c r="A862" s="30"/>
      <c r="B862" s="30"/>
      <c r="C862" s="30"/>
      <c r="D862" s="31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  <c r="AL862" s="30"/>
      <c r="AM862" s="30"/>
      <c r="AN862" s="30"/>
      <c r="AO862" s="30"/>
      <c r="AP862" s="30"/>
      <c r="AQ862" s="30"/>
      <c r="AR862" s="30"/>
      <c r="AS862" s="30"/>
    </row>
    <row r="863" customFormat="false" ht="15.75" hidden="false" customHeight="false" outlineLevel="0" collapsed="false">
      <c r="A863" s="30"/>
      <c r="B863" s="30"/>
      <c r="C863" s="30"/>
      <c r="D863" s="31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  <c r="AL863" s="30"/>
      <c r="AM863" s="30"/>
      <c r="AN863" s="30"/>
      <c r="AO863" s="30"/>
      <c r="AP863" s="30"/>
      <c r="AQ863" s="30"/>
      <c r="AR863" s="30"/>
      <c r="AS863" s="30"/>
    </row>
    <row r="864" customFormat="false" ht="15.75" hidden="false" customHeight="false" outlineLevel="0" collapsed="false">
      <c r="A864" s="30"/>
      <c r="B864" s="30"/>
      <c r="C864" s="30"/>
      <c r="D864" s="31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  <c r="AL864" s="30"/>
      <c r="AM864" s="30"/>
      <c r="AN864" s="30"/>
      <c r="AO864" s="30"/>
      <c r="AP864" s="30"/>
      <c r="AQ864" s="30"/>
      <c r="AR864" s="30"/>
      <c r="AS864" s="30"/>
    </row>
    <row r="865" customFormat="false" ht="15.75" hidden="false" customHeight="false" outlineLevel="0" collapsed="false">
      <c r="A865" s="30"/>
      <c r="B865" s="30"/>
      <c r="C865" s="30"/>
      <c r="D865" s="31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  <c r="AL865" s="30"/>
      <c r="AM865" s="30"/>
      <c r="AN865" s="30"/>
      <c r="AO865" s="30"/>
      <c r="AP865" s="30"/>
      <c r="AQ865" s="30"/>
      <c r="AR865" s="30"/>
      <c r="AS865" s="30"/>
    </row>
    <row r="1047031" customFormat="false" ht="12.8" hidden="false" customHeight="true" outlineLevel="0" collapsed="false"/>
    <row r="1047032" customFormat="false" ht="12.8" hidden="false" customHeight="true" outlineLevel="0" collapsed="false"/>
    <row r="1047033" customFormat="false" ht="12.8" hidden="false" customHeight="true" outlineLevel="0" collapsed="false"/>
    <row r="1047034" customFormat="false" ht="12.8" hidden="false" customHeight="true" outlineLevel="0" collapsed="false"/>
    <row r="1047035" customFormat="false" ht="12.8" hidden="false" customHeight="true" outlineLevel="0" collapsed="false"/>
    <row r="1047036" customFormat="false" ht="12.8" hidden="false" customHeight="true" outlineLevel="0" collapsed="false"/>
    <row r="1047037" customFormat="false" ht="12.8" hidden="false" customHeight="true" outlineLevel="0" collapsed="false"/>
    <row r="1047038" customFormat="false" ht="12.8" hidden="false" customHeight="true" outlineLevel="0" collapsed="false"/>
    <row r="1047039" customFormat="false" ht="12.8" hidden="false" customHeight="true" outlineLevel="0" collapsed="false"/>
    <row r="1047040" customFormat="false" ht="12.8" hidden="false" customHeight="true" outlineLevel="0" collapsed="false"/>
    <row r="1047041" customFormat="false" ht="12.8" hidden="false" customHeight="true" outlineLevel="0" collapsed="false"/>
    <row r="1047042" customFormat="false" ht="12.8" hidden="false" customHeight="true" outlineLevel="0" collapsed="false"/>
    <row r="1047043" customFormat="false" ht="12.8" hidden="false" customHeight="true" outlineLevel="0" collapsed="false"/>
    <row r="1047044" customFormat="false" ht="12.8" hidden="false" customHeight="true" outlineLevel="0" collapsed="false"/>
    <row r="1047045" customFormat="false" ht="12.8" hidden="false" customHeight="true" outlineLevel="0" collapsed="false"/>
    <row r="1047046" customFormat="false" ht="12.8" hidden="false" customHeight="true" outlineLevel="0" collapsed="false"/>
    <row r="1047047" customFormat="false" ht="12.8" hidden="false" customHeight="true" outlineLevel="0" collapsed="false"/>
    <row r="1047048" customFormat="false" ht="12.8" hidden="false" customHeight="true" outlineLevel="0" collapsed="false"/>
    <row r="1047049" customFormat="false" ht="12.8" hidden="false" customHeight="true" outlineLevel="0" collapsed="false"/>
    <row r="1047050" customFormat="false" ht="12.8" hidden="false" customHeight="true" outlineLevel="0" collapsed="false"/>
    <row r="1047051" customFormat="false" ht="12.8" hidden="false" customHeight="true" outlineLevel="0" collapsed="false"/>
    <row r="1047052" customFormat="false" ht="12.8" hidden="false" customHeight="true" outlineLevel="0" collapsed="false"/>
    <row r="1047053" customFormat="false" ht="12.8" hidden="false" customHeight="true" outlineLevel="0" collapsed="false"/>
    <row r="1047054" customFormat="false" ht="12.8" hidden="false" customHeight="true" outlineLevel="0" collapsed="false"/>
    <row r="1047055" customFormat="false" ht="12.8" hidden="false" customHeight="true" outlineLevel="0" collapsed="false"/>
    <row r="1047056" customFormat="false" ht="12.8" hidden="false" customHeight="true" outlineLevel="0" collapsed="false"/>
    <row r="1047057" customFormat="false" ht="12.8" hidden="false" customHeight="true" outlineLevel="0" collapsed="false"/>
    <row r="1047058" customFormat="false" ht="12.8" hidden="false" customHeight="true" outlineLevel="0" collapsed="false"/>
    <row r="1047059" customFormat="false" ht="12.8" hidden="false" customHeight="true" outlineLevel="0" collapsed="false"/>
    <row r="1047060" customFormat="false" ht="12.8" hidden="false" customHeight="true" outlineLevel="0" collapsed="false"/>
    <row r="1047061" customFormat="false" ht="12.8" hidden="false" customHeight="true" outlineLevel="0" collapsed="false"/>
    <row r="1047062" customFormat="false" ht="12.8" hidden="false" customHeight="true" outlineLevel="0" collapsed="false"/>
    <row r="1047063" customFormat="false" ht="12.8" hidden="false" customHeight="true" outlineLevel="0" collapsed="false"/>
    <row r="1047064" customFormat="false" ht="12.8" hidden="false" customHeight="true" outlineLevel="0" collapsed="false"/>
    <row r="1047065" customFormat="false" ht="12.8" hidden="false" customHeight="true" outlineLevel="0" collapsed="false"/>
    <row r="1047066" customFormat="false" ht="12.8" hidden="false" customHeight="true" outlineLevel="0" collapsed="false"/>
    <row r="1047067" customFormat="false" ht="12.8" hidden="false" customHeight="true" outlineLevel="0" collapsed="false"/>
    <row r="1047068" customFormat="false" ht="12.8" hidden="false" customHeight="true" outlineLevel="0" collapsed="false"/>
    <row r="1047069" customFormat="false" ht="12.8" hidden="false" customHeight="true" outlineLevel="0" collapsed="false"/>
    <row r="1047070" customFormat="false" ht="12.8" hidden="false" customHeight="true" outlineLevel="0" collapsed="false"/>
    <row r="1047071" customFormat="false" ht="12.8" hidden="false" customHeight="true" outlineLevel="0" collapsed="false"/>
    <row r="1047072" customFormat="false" ht="12.8" hidden="false" customHeight="true" outlineLevel="0" collapsed="false"/>
    <row r="1047073" customFormat="false" ht="12.8" hidden="false" customHeight="true" outlineLevel="0" collapsed="false"/>
    <row r="1047074" customFormat="false" ht="12.8" hidden="false" customHeight="true" outlineLevel="0" collapsed="false"/>
    <row r="1047075" customFormat="false" ht="12.8" hidden="false" customHeight="true" outlineLevel="0" collapsed="false"/>
    <row r="1047076" customFormat="false" ht="12.8" hidden="false" customHeight="true" outlineLevel="0" collapsed="false"/>
    <row r="1047077" customFormat="false" ht="12.8" hidden="false" customHeight="true" outlineLevel="0" collapsed="false"/>
    <row r="1047078" customFormat="false" ht="12.8" hidden="false" customHeight="true" outlineLevel="0" collapsed="false"/>
    <row r="1047079" customFormat="false" ht="12.8" hidden="false" customHeight="true" outlineLevel="0" collapsed="false"/>
    <row r="1047080" customFormat="false" ht="12.8" hidden="false" customHeight="true" outlineLevel="0" collapsed="false"/>
    <row r="1047081" customFormat="false" ht="12.8" hidden="false" customHeight="true" outlineLevel="0" collapsed="false"/>
    <row r="1047082" customFormat="false" ht="12.8" hidden="false" customHeight="true" outlineLevel="0" collapsed="false"/>
    <row r="1047083" customFormat="false" ht="12.8" hidden="false" customHeight="true" outlineLevel="0" collapsed="false"/>
    <row r="1047084" customFormat="false" ht="12.8" hidden="false" customHeight="true" outlineLevel="0" collapsed="false"/>
    <row r="1047085" customFormat="false" ht="12.8" hidden="false" customHeight="true" outlineLevel="0" collapsed="false"/>
    <row r="1047086" customFormat="false" ht="12.8" hidden="false" customHeight="true" outlineLevel="0" collapsed="false"/>
    <row r="1047087" customFormat="false" ht="12.8" hidden="false" customHeight="true" outlineLevel="0" collapsed="false"/>
    <row r="1047088" customFormat="false" ht="12.8" hidden="false" customHeight="true" outlineLevel="0" collapsed="false"/>
    <row r="1047089" customFormat="false" ht="12.8" hidden="false" customHeight="true" outlineLevel="0" collapsed="false"/>
    <row r="1047090" customFormat="false" ht="12.8" hidden="false" customHeight="true" outlineLevel="0" collapsed="false"/>
    <row r="1047091" customFormat="false" ht="12.8" hidden="false" customHeight="true" outlineLevel="0" collapsed="false"/>
    <row r="1047092" customFormat="false" ht="12.8" hidden="false" customHeight="true" outlineLevel="0" collapsed="false"/>
    <row r="1047093" customFormat="false" ht="12.8" hidden="false" customHeight="true" outlineLevel="0" collapsed="false"/>
    <row r="1047094" customFormat="false" ht="12.8" hidden="false" customHeight="true" outlineLevel="0" collapsed="false"/>
    <row r="1047095" customFormat="false" ht="12.8" hidden="false" customHeight="true" outlineLevel="0" collapsed="false"/>
    <row r="1047096" customFormat="false" ht="12.8" hidden="false" customHeight="true" outlineLevel="0" collapsed="false"/>
    <row r="1047097" customFormat="false" ht="12.8" hidden="false" customHeight="true" outlineLevel="0" collapsed="false"/>
    <row r="1047098" customFormat="false" ht="12.8" hidden="false" customHeight="true" outlineLevel="0" collapsed="false"/>
    <row r="1047099" customFormat="false" ht="12.8" hidden="false" customHeight="true" outlineLevel="0" collapsed="false"/>
    <row r="1047100" customFormat="false" ht="12.8" hidden="false" customHeight="true" outlineLevel="0" collapsed="false"/>
    <row r="1047101" customFormat="false" ht="12.8" hidden="false" customHeight="true" outlineLevel="0" collapsed="false"/>
    <row r="1047102" customFormat="false" ht="12.8" hidden="false" customHeight="true" outlineLevel="0" collapsed="false"/>
    <row r="1047103" customFormat="false" ht="12.8" hidden="false" customHeight="true" outlineLevel="0" collapsed="false"/>
    <row r="1047104" customFormat="false" ht="12.8" hidden="false" customHeight="true" outlineLevel="0" collapsed="false"/>
    <row r="1047105" customFormat="false" ht="12.8" hidden="false" customHeight="true" outlineLevel="0" collapsed="false"/>
    <row r="1047106" customFormat="false" ht="12.8" hidden="false" customHeight="true" outlineLevel="0" collapsed="false"/>
    <row r="1047107" customFormat="false" ht="12.8" hidden="false" customHeight="true" outlineLevel="0" collapsed="false"/>
    <row r="1047108" customFormat="false" ht="12.8" hidden="false" customHeight="true" outlineLevel="0" collapsed="false"/>
    <row r="1047109" customFormat="false" ht="12.8" hidden="false" customHeight="true" outlineLevel="0" collapsed="false"/>
    <row r="1047110" customFormat="false" ht="12.8" hidden="false" customHeight="true" outlineLevel="0" collapsed="false"/>
    <row r="1047111" customFormat="false" ht="12.8" hidden="false" customHeight="true" outlineLevel="0" collapsed="false"/>
    <row r="1047112" customFormat="false" ht="12.8" hidden="false" customHeight="true" outlineLevel="0" collapsed="false"/>
    <row r="1047113" customFormat="false" ht="12.8" hidden="false" customHeight="true" outlineLevel="0" collapsed="false"/>
    <row r="1047114" customFormat="false" ht="12.8" hidden="false" customHeight="true" outlineLevel="0" collapsed="false"/>
    <row r="1047115" customFormat="false" ht="12.8" hidden="false" customHeight="true" outlineLevel="0" collapsed="false"/>
    <row r="1047116" customFormat="false" ht="12.8" hidden="false" customHeight="true" outlineLevel="0" collapsed="false"/>
    <row r="1047117" customFormat="false" ht="12.8" hidden="false" customHeight="true" outlineLevel="0" collapsed="false"/>
    <row r="1047118" customFormat="false" ht="12.8" hidden="false" customHeight="true" outlineLevel="0" collapsed="false"/>
    <row r="1047119" customFormat="false" ht="12.8" hidden="false" customHeight="true" outlineLevel="0" collapsed="false"/>
    <row r="1047120" customFormat="false" ht="12.8" hidden="false" customHeight="true" outlineLevel="0" collapsed="false"/>
    <row r="1047121" customFormat="false" ht="12.8" hidden="false" customHeight="true" outlineLevel="0" collapsed="false"/>
    <row r="1047122" customFormat="false" ht="12.8" hidden="false" customHeight="true" outlineLevel="0" collapsed="false"/>
    <row r="1047123" customFormat="false" ht="12.8" hidden="false" customHeight="true" outlineLevel="0" collapsed="false"/>
    <row r="1047124" customFormat="false" ht="12.8" hidden="false" customHeight="true" outlineLevel="0" collapsed="false"/>
    <row r="1047125" customFormat="false" ht="12.8" hidden="false" customHeight="true" outlineLevel="0" collapsed="false"/>
    <row r="1047126" customFormat="false" ht="12.8" hidden="false" customHeight="true" outlineLevel="0" collapsed="false"/>
    <row r="1047127" customFormat="false" ht="12.8" hidden="false" customHeight="true" outlineLevel="0" collapsed="false"/>
    <row r="1047128" customFormat="false" ht="12.8" hidden="false" customHeight="true" outlineLevel="0" collapsed="false"/>
    <row r="1047129" customFormat="false" ht="12.8" hidden="false" customHeight="true" outlineLevel="0" collapsed="false"/>
    <row r="1047130" customFormat="false" ht="12.8" hidden="false" customHeight="true" outlineLevel="0" collapsed="false"/>
    <row r="1047131" customFormat="false" ht="12.8" hidden="false" customHeight="true" outlineLevel="0" collapsed="false"/>
    <row r="1047132" customFormat="false" ht="12.8" hidden="false" customHeight="true" outlineLevel="0" collapsed="false"/>
    <row r="1047133" customFormat="false" ht="12.8" hidden="false" customHeight="true" outlineLevel="0" collapsed="false"/>
    <row r="1047134" customFormat="false" ht="12.8" hidden="false" customHeight="true" outlineLevel="0" collapsed="false"/>
    <row r="1047135" customFormat="false" ht="12.8" hidden="false" customHeight="true" outlineLevel="0" collapsed="false"/>
    <row r="1047136" customFormat="false" ht="12.8" hidden="false" customHeight="true" outlineLevel="0" collapsed="false"/>
    <row r="1047137" customFormat="false" ht="12.8" hidden="false" customHeight="true" outlineLevel="0" collapsed="false"/>
    <row r="1047138" customFormat="false" ht="12.8" hidden="false" customHeight="true" outlineLevel="0" collapsed="false"/>
    <row r="1047139" customFormat="false" ht="12.8" hidden="false" customHeight="true" outlineLevel="0" collapsed="false"/>
    <row r="1047140" customFormat="false" ht="12.8" hidden="false" customHeight="true" outlineLevel="0" collapsed="false"/>
    <row r="1047141" customFormat="false" ht="12.8" hidden="false" customHeight="true" outlineLevel="0" collapsed="false"/>
    <row r="1047142" customFormat="false" ht="12.8" hidden="false" customHeight="true" outlineLevel="0" collapsed="false"/>
    <row r="1047143" customFormat="false" ht="12.8" hidden="false" customHeight="true" outlineLevel="0" collapsed="false"/>
    <row r="1047144" customFormat="false" ht="12.8" hidden="false" customHeight="true" outlineLevel="0" collapsed="false"/>
    <row r="1047145" customFormat="false" ht="12.8" hidden="false" customHeight="true" outlineLevel="0" collapsed="false"/>
    <row r="1047146" customFormat="false" ht="12.8" hidden="false" customHeight="true" outlineLevel="0" collapsed="false"/>
    <row r="1047147" customFormat="false" ht="12.8" hidden="false" customHeight="true" outlineLevel="0" collapsed="false"/>
    <row r="1047148" customFormat="false" ht="12.8" hidden="false" customHeight="true" outlineLevel="0" collapsed="false"/>
    <row r="1047149" customFormat="false" ht="12.8" hidden="false" customHeight="true" outlineLevel="0" collapsed="false"/>
    <row r="1047150" customFormat="false" ht="12.8" hidden="false" customHeight="true" outlineLevel="0" collapsed="false"/>
    <row r="1047151" customFormat="false" ht="12.8" hidden="false" customHeight="true" outlineLevel="0" collapsed="false"/>
    <row r="1047152" customFormat="false" ht="12.8" hidden="false" customHeight="true" outlineLevel="0" collapsed="false"/>
    <row r="1047153" customFormat="false" ht="12.8" hidden="false" customHeight="true" outlineLevel="0" collapsed="false"/>
    <row r="1047154" customFormat="false" ht="12.8" hidden="false" customHeight="true" outlineLevel="0" collapsed="false"/>
    <row r="1047155" customFormat="false" ht="12.8" hidden="false" customHeight="true" outlineLevel="0" collapsed="false"/>
    <row r="1047156" customFormat="false" ht="12.8" hidden="false" customHeight="true" outlineLevel="0" collapsed="false"/>
    <row r="1047157" customFormat="false" ht="12.8" hidden="false" customHeight="true" outlineLevel="0" collapsed="false"/>
    <row r="1047158" customFormat="false" ht="12.8" hidden="false" customHeight="true" outlineLevel="0" collapsed="false"/>
    <row r="1047159" customFormat="false" ht="12.8" hidden="false" customHeight="true" outlineLevel="0" collapsed="false"/>
    <row r="1047160" customFormat="false" ht="12.8" hidden="false" customHeight="true" outlineLevel="0" collapsed="false"/>
    <row r="1047161" customFormat="false" ht="12.8" hidden="false" customHeight="true" outlineLevel="0" collapsed="false"/>
    <row r="1047162" customFormat="false" ht="12.8" hidden="false" customHeight="true" outlineLevel="0" collapsed="false"/>
    <row r="1047163" customFormat="false" ht="12.8" hidden="false" customHeight="true" outlineLevel="0" collapsed="false"/>
    <row r="1047164" customFormat="false" ht="12.8" hidden="false" customHeight="true" outlineLevel="0" collapsed="false"/>
    <row r="1047165" customFormat="false" ht="12.8" hidden="false" customHeight="true" outlineLevel="0" collapsed="false"/>
    <row r="1047166" customFormat="false" ht="12.8" hidden="false" customHeight="true" outlineLevel="0" collapsed="false"/>
    <row r="1047167" customFormat="false" ht="12.8" hidden="false" customHeight="true" outlineLevel="0" collapsed="false"/>
    <row r="1047168" customFormat="false" ht="12.8" hidden="false" customHeight="true" outlineLevel="0" collapsed="false"/>
    <row r="1047169" customFormat="false" ht="12.8" hidden="false" customHeight="true" outlineLevel="0" collapsed="false"/>
    <row r="1047170" customFormat="false" ht="12.8" hidden="false" customHeight="true" outlineLevel="0" collapsed="false"/>
    <row r="1047171" customFormat="false" ht="12.8" hidden="false" customHeight="true" outlineLevel="0" collapsed="false"/>
    <row r="1047172" customFormat="false" ht="12.8" hidden="false" customHeight="true" outlineLevel="0" collapsed="false"/>
    <row r="1047173" customFormat="false" ht="12.8" hidden="false" customHeight="true" outlineLevel="0" collapsed="false"/>
    <row r="1047174" customFormat="false" ht="12.8" hidden="false" customHeight="true" outlineLevel="0" collapsed="false"/>
    <row r="1047175" customFormat="false" ht="12.8" hidden="false" customHeight="true" outlineLevel="0" collapsed="false"/>
    <row r="1047176" customFormat="false" ht="12.8" hidden="false" customHeight="true" outlineLevel="0" collapsed="false"/>
    <row r="1047177" customFormat="false" ht="12.8" hidden="false" customHeight="true" outlineLevel="0" collapsed="false"/>
    <row r="1047178" customFormat="false" ht="12.8" hidden="false" customHeight="true" outlineLevel="0" collapsed="false"/>
    <row r="1047179" customFormat="false" ht="12.8" hidden="false" customHeight="true" outlineLevel="0" collapsed="false"/>
    <row r="1047180" customFormat="false" ht="12.8" hidden="false" customHeight="true" outlineLevel="0" collapsed="false"/>
    <row r="1047181" customFormat="false" ht="12.8" hidden="false" customHeight="true" outlineLevel="0" collapsed="false"/>
    <row r="1047182" customFormat="false" ht="12.8" hidden="false" customHeight="true" outlineLevel="0" collapsed="false"/>
    <row r="1047183" customFormat="false" ht="12.8" hidden="false" customHeight="true" outlineLevel="0" collapsed="false"/>
    <row r="1047184" customFormat="false" ht="12.8" hidden="false" customHeight="true" outlineLevel="0" collapsed="false"/>
    <row r="1047185" customFormat="false" ht="12.8" hidden="false" customHeight="true" outlineLevel="0" collapsed="false"/>
    <row r="1047186" customFormat="false" ht="12.8" hidden="false" customHeight="true" outlineLevel="0" collapsed="false"/>
    <row r="1047187" customFormat="false" ht="12.8" hidden="false" customHeight="true" outlineLevel="0" collapsed="false"/>
    <row r="1047188" customFormat="false" ht="12.8" hidden="false" customHeight="true" outlineLevel="0" collapsed="false"/>
    <row r="1047189" customFormat="false" ht="12.8" hidden="false" customHeight="true" outlineLevel="0" collapsed="false"/>
    <row r="1047190" customFormat="false" ht="12.8" hidden="false" customHeight="true" outlineLevel="0" collapsed="false"/>
    <row r="1047191" customFormat="false" ht="12.8" hidden="false" customHeight="true" outlineLevel="0" collapsed="false"/>
    <row r="1047192" customFormat="false" ht="12.8" hidden="false" customHeight="true" outlineLevel="0" collapsed="false"/>
    <row r="1047193" customFormat="false" ht="12.8" hidden="false" customHeight="true" outlineLevel="0" collapsed="false"/>
    <row r="1047194" customFormat="false" ht="12.8" hidden="false" customHeight="true" outlineLevel="0" collapsed="false"/>
    <row r="1047195" customFormat="false" ht="12.8" hidden="false" customHeight="true" outlineLevel="0" collapsed="false"/>
    <row r="1047196" customFormat="false" ht="12.8" hidden="false" customHeight="true" outlineLevel="0" collapsed="false"/>
    <row r="1047197" customFormat="false" ht="12.8" hidden="false" customHeight="true" outlineLevel="0" collapsed="false"/>
    <row r="1047198" customFormat="false" ht="12.8" hidden="false" customHeight="true" outlineLevel="0" collapsed="false"/>
    <row r="1047199" customFormat="false" ht="12.8" hidden="false" customHeight="true" outlineLevel="0" collapsed="false"/>
    <row r="1047200" customFormat="false" ht="12.8" hidden="false" customHeight="true" outlineLevel="0" collapsed="false"/>
    <row r="1047201" customFormat="false" ht="12.8" hidden="false" customHeight="true" outlineLevel="0" collapsed="false"/>
    <row r="1047202" customFormat="false" ht="12.8" hidden="false" customHeight="true" outlineLevel="0" collapsed="false"/>
    <row r="1047203" customFormat="false" ht="12.8" hidden="false" customHeight="true" outlineLevel="0" collapsed="false"/>
    <row r="1047204" customFormat="false" ht="12.8" hidden="false" customHeight="true" outlineLevel="0" collapsed="false"/>
    <row r="1047205" customFormat="false" ht="12.8" hidden="false" customHeight="true" outlineLevel="0" collapsed="false"/>
    <row r="1047206" customFormat="false" ht="12.8" hidden="false" customHeight="true" outlineLevel="0" collapsed="false"/>
    <row r="1047207" customFormat="false" ht="12.8" hidden="false" customHeight="true" outlineLevel="0" collapsed="false"/>
    <row r="1047208" customFormat="false" ht="12.8" hidden="false" customHeight="true" outlineLevel="0" collapsed="false"/>
    <row r="1047209" customFormat="false" ht="12.8" hidden="false" customHeight="true" outlineLevel="0" collapsed="false"/>
    <row r="1047210" customFormat="false" ht="12.8" hidden="false" customHeight="true" outlineLevel="0" collapsed="false"/>
    <row r="1047211" customFormat="false" ht="12.8" hidden="false" customHeight="true" outlineLevel="0" collapsed="false"/>
    <row r="1047212" customFormat="false" ht="12.8" hidden="false" customHeight="true" outlineLevel="0" collapsed="false"/>
    <row r="1047213" customFormat="false" ht="12.8" hidden="false" customHeight="true" outlineLevel="0" collapsed="false"/>
    <row r="1047214" customFormat="false" ht="12.8" hidden="false" customHeight="true" outlineLevel="0" collapsed="false"/>
    <row r="1047215" customFormat="false" ht="12.8" hidden="false" customHeight="true" outlineLevel="0" collapsed="false"/>
    <row r="1047216" customFormat="false" ht="12.8" hidden="false" customHeight="true" outlineLevel="0" collapsed="false"/>
    <row r="1047217" customFormat="false" ht="12.8" hidden="false" customHeight="true" outlineLevel="0" collapsed="false"/>
    <row r="1047218" customFormat="false" ht="12.8" hidden="false" customHeight="true" outlineLevel="0" collapsed="false"/>
    <row r="1047219" customFormat="false" ht="12.8" hidden="false" customHeight="true" outlineLevel="0" collapsed="false"/>
    <row r="1047220" customFormat="false" ht="12.8" hidden="false" customHeight="true" outlineLevel="0" collapsed="false"/>
    <row r="1047221" customFormat="false" ht="12.8" hidden="false" customHeight="true" outlineLevel="0" collapsed="false"/>
    <row r="1047222" customFormat="false" ht="12.8" hidden="false" customHeight="true" outlineLevel="0" collapsed="false"/>
    <row r="1047223" customFormat="false" ht="12.8" hidden="false" customHeight="true" outlineLevel="0" collapsed="false"/>
    <row r="1047224" customFormat="false" ht="12.8" hidden="false" customHeight="true" outlineLevel="0" collapsed="false"/>
    <row r="1047225" customFormat="false" ht="12.8" hidden="false" customHeight="true" outlineLevel="0" collapsed="false"/>
    <row r="1047226" customFormat="false" ht="12.8" hidden="false" customHeight="true" outlineLevel="0" collapsed="false"/>
    <row r="1047227" customFormat="false" ht="12.8" hidden="false" customHeight="true" outlineLevel="0" collapsed="false"/>
    <row r="1047228" customFormat="false" ht="12.8" hidden="false" customHeight="true" outlineLevel="0" collapsed="false"/>
    <row r="1047229" customFormat="false" ht="12.8" hidden="false" customHeight="true" outlineLevel="0" collapsed="false"/>
    <row r="1047230" customFormat="false" ht="12.8" hidden="false" customHeight="true" outlineLevel="0" collapsed="false"/>
    <row r="1047231" customFormat="false" ht="12.8" hidden="false" customHeight="true" outlineLevel="0" collapsed="false"/>
    <row r="1047232" customFormat="false" ht="12.8" hidden="false" customHeight="true" outlineLevel="0" collapsed="false"/>
    <row r="1047233" customFormat="false" ht="12.8" hidden="false" customHeight="true" outlineLevel="0" collapsed="false"/>
    <row r="1047234" customFormat="false" ht="12.8" hidden="false" customHeight="true" outlineLevel="0" collapsed="false"/>
    <row r="1047235" customFormat="false" ht="12.8" hidden="false" customHeight="true" outlineLevel="0" collapsed="false"/>
    <row r="1047236" customFormat="false" ht="12.8" hidden="false" customHeight="true" outlineLevel="0" collapsed="false"/>
    <row r="1047237" customFormat="false" ht="12.8" hidden="false" customHeight="true" outlineLevel="0" collapsed="false"/>
    <row r="1047238" customFormat="false" ht="12.8" hidden="false" customHeight="true" outlineLevel="0" collapsed="false"/>
    <row r="1047239" customFormat="false" ht="12.8" hidden="false" customHeight="true" outlineLevel="0" collapsed="false"/>
    <row r="1047240" customFormat="false" ht="12.8" hidden="false" customHeight="true" outlineLevel="0" collapsed="false"/>
    <row r="1047241" customFormat="false" ht="12.8" hidden="false" customHeight="true" outlineLevel="0" collapsed="false"/>
    <row r="1047242" customFormat="false" ht="12.8" hidden="false" customHeight="true" outlineLevel="0" collapsed="false"/>
    <row r="1047243" customFormat="false" ht="12.8" hidden="false" customHeight="true" outlineLevel="0" collapsed="false"/>
    <row r="1047244" customFormat="false" ht="12.8" hidden="false" customHeight="true" outlineLevel="0" collapsed="false"/>
    <row r="1047245" customFormat="false" ht="12.8" hidden="false" customHeight="true" outlineLevel="0" collapsed="false"/>
    <row r="1047246" customFormat="false" ht="12.8" hidden="false" customHeight="true" outlineLevel="0" collapsed="false"/>
    <row r="1047247" customFormat="false" ht="12.8" hidden="false" customHeight="true" outlineLevel="0" collapsed="false"/>
    <row r="1047248" customFormat="false" ht="12.8" hidden="false" customHeight="true" outlineLevel="0" collapsed="false"/>
    <row r="1047249" customFormat="false" ht="12.8" hidden="false" customHeight="true" outlineLevel="0" collapsed="false"/>
    <row r="1047250" customFormat="false" ht="12.8" hidden="false" customHeight="true" outlineLevel="0" collapsed="false"/>
    <row r="1047251" customFormat="false" ht="12.8" hidden="false" customHeight="true" outlineLevel="0" collapsed="false"/>
    <row r="1047252" customFormat="false" ht="12.8" hidden="false" customHeight="true" outlineLevel="0" collapsed="false"/>
    <row r="1047253" customFormat="false" ht="12.8" hidden="false" customHeight="true" outlineLevel="0" collapsed="false"/>
    <row r="1047254" customFormat="false" ht="12.8" hidden="false" customHeight="true" outlineLevel="0" collapsed="false"/>
    <row r="1047255" customFormat="false" ht="12.8" hidden="false" customHeight="true" outlineLevel="0" collapsed="false"/>
    <row r="1047256" customFormat="false" ht="12.8" hidden="false" customHeight="true" outlineLevel="0" collapsed="false"/>
    <row r="1047257" customFormat="false" ht="12.8" hidden="false" customHeight="true" outlineLevel="0" collapsed="false"/>
    <row r="1047258" customFormat="false" ht="12.8" hidden="false" customHeight="true" outlineLevel="0" collapsed="false"/>
    <row r="1047259" customFormat="false" ht="12.8" hidden="false" customHeight="true" outlineLevel="0" collapsed="false"/>
    <row r="1047260" customFormat="false" ht="12.8" hidden="false" customHeight="true" outlineLevel="0" collapsed="false"/>
    <row r="1047261" customFormat="false" ht="12.8" hidden="false" customHeight="true" outlineLevel="0" collapsed="false"/>
    <row r="1047262" customFormat="false" ht="12.8" hidden="false" customHeight="true" outlineLevel="0" collapsed="false"/>
    <row r="1047263" customFormat="false" ht="12.8" hidden="false" customHeight="true" outlineLevel="0" collapsed="false"/>
    <row r="1047264" customFormat="false" ht="12.8" hidden="false" customHeight="true" outlineLevel="0" collapsed="false"/>
    <row r="1047265" customFormat="false" ht="12.8" hidden="false" customHeight="true" outlineLevel="0" collapsed="false"/>
    <row r="1047266" customFormat="false" ht="12.8" hidden="false" customHeight="true" outlineLevel="0" collapsed="false"/>
    <row r="1047267" customFormat="false" ht="12.8" hidden="false" customHeight="true" outlineLevel="0" collapsed="false"/>
    <row r="1047268" customFormat="false" ht="12.8" hidden="false" customHeight="true" outlineLevel="0" collapsed="false"/>
    <row r="1047269" customFormat="false" ht="12.8" hidden="false" customHeight="true" outlineLevel="0" collapsed="false"/>
    <row r="1047270" customFormat="false" ht="12.8" hidden="false" customHeight="true" outlineLevel="0" collapsed="false"/>
    <row r="1047271" customFormat="false" ht="12.8" hidden="false" customHeight="true" outlineLevel="0" collapsed="false"/>
    <row r="1047272" customFormat="false" ht="12.8" hidden="false" customHeight="true" outlineLevel="0" collapsed="false"/>
    <row r="1047273" customFormat="false" ht="12.8" hidden="false" customHeight="true" outlineLevel="0" collapsed="false"/>
    <row r="1047274" customFormat="false" ht="12.8" hidden="false" customHeight="true" outlineLevel="0" collapsed="false"/>
    <row r="1047275" customFormat="false" ht="12.8" hidden="false" customHeight="true" outlineLevel="0" collapsed="false"/>
    <row r="1047276" customFormat="false" ht="12.8" hidden="false" customHeight="true" outlineLevel="0" collapsed="false"/>
    <row r="1047277" customFormat="false" ht="12.8" hidden="false" customHeight="true" outlineLevel="0" collapsed="false"/>
    <row r="1047278" customFormat="false" ht="12.8" hidden="false" customHeight="true" outlineLevel="0" collapsed="false"/>
    <row r="1047279" customFormat="false" ht="12.8" hidden="false" customHeight="true" outlineLevel="0" collapsed="false"/>
    <row r="1047280" customFormat="false" ht="12.8" hidden="false" customHeight="true" outlineLevel="0" collapsed="false"/>
    <row r="1047281" customFormat="false" ht="12.8" hidden="false" customHeight="true" outlineLevel="0" collapsed="false"/>
    <row r="1047282" customFormat="false" ht="12.8" hidden="false" customHeight="true" outlineLevel="0" collapsed="false"/>
    <row r="1047283" customFormat="false" ht="12.8" hidden="false" customHeight="true" outlineLevel="0" collapsed="false"/>
    <row r="1047284" customFormat="false" ht="12.8" hidden="false" customHeight="true" outlineLevel="0" collapsed="false"/>
    <row r="1047285" customFormat="false" ht="12.8" hidden="false" customHeight="true" outlineLevel="0" collapsed="false"/>
    <row r="1047286" customFormat="false" ht="12.8" hidden="false" customHeight="true" outlineLevel="0" collapsed="false"/>
    <row r="1047287" customFormat="false" ht="12.8" hidden="false" customHeight="true" outlineLevel="0" collapsed="false"/>
    <row r="1047288" customFormat="false" ht="12.8" hidden="false" customHeight="true" outlineLevel="0" collapsed="false"/>
    <row r="1047289" customFormat="false" ht="12.8" hidden="false" customHeight="true" outlineLevel="0" collapsed="false"/>
    <row r="1047290" customFormat="false" ht="12.8" hidden="false" customHeight="true" outlineLevel="0" collapsed="false"/>
    <row r="1047291" customFormat="false" ht="12.8" hidden="false" customHeight="true" outlineLevel="0" collapsed="false"/>
    <row r="1047292" customFormat="false" ht="12.8" hidden="false" customHeight="true" outlineLevel="0" collapsed="false"/>
    <row r="1047293" customFormat="false" ht="12.8" hidden="false" customHeight="true" outlineLevel="0" collapsed="false"/>
    <row r="1047294" customFormat="false" ht="12.8" hidden="false" customHeight="true" outlineLevel="0" collapsed="false"/>
    <row r="1047295" customFormat="false" ht="12.8" hidden="false" customHeight="true" outlineLevel="0" collapsed="false"/>
    <row r="1047296" customFormat="false" ht="12.8" hidden="false" customHeight="true" outlineLevel="0" collapsed="false"/>
    <row r="1047297" customFormat="false" ht="12.8" hidden="false" customHeight="true" outlineLevel="0" collapsed="false"/>
    <row r="1047298" customFormat="false" ht="12.8" hidden="false" customHeight="true" outlineLevel="0" collapsed="false"/>
    <row r="1047299" customFormat="false" ht="12.8" hidden="false" customHeight="true" outlineLevel="0" collapsed="false"/>
    <row r="1047300" customFormat="false" ht="12.8" hidden="false" customHeight="true" outlineLevel="0" collapsed="false"/>
    <row r="1047301" customFormat="false" ht="12.8" hidden="false" customHeight="true" outlineLevel="0" collapsed="false"/>
    <row r="1047302" customFormat="false" ht="12.8" hidden="false" customHeight="true" outlineLevel="0" collapsed="false"/>
    <row r="1047303" customFormat="false" ht="12.8" hidden="false" customHeight="true" outlineLevel="0" collapsed="false"/>
    <row r="1047304" customFormat="false" ht="12.8" hidden="false" customHeight="true" outlineLevel="0" collapsed="false"/>
    <row r="1047305" customFormat="false" ht="12.8" hidden="false" customHeight="true" outlineLevel="0" collapsed="false"/>
    <row r="1047306" customFormat="false" ht="12.8" hidden="false" customHeight="true" outlineLevel="0" collapsed="false"/>
    <row r="1047307" customFormat="false" ht="12.8" hidden="false" customHeight="true" outlineLevel="0" collapsed="false"/>
    <row r="1047308" customFormat="false" ht="12.8" hidden="false" customHeight="true" outlineLevel="0" collapsed="false"/>
    <row r="1047309" customFormat="false" ht="12.8" hidden="false" customHeight="true" outlineLevel="0" collapsed="false"/>
    <row r="1047310" customFormat="false" ht="12.8" hidden="false" customHeight="true" outlineLevel="0" collapsed="false"/>
    <row r="1047311" customFormat="false" ht="12.8" hidden="false" customHeight="true" outlineLevel="0" collapsed="false"/>
    <row r="1047312" customFormat="false" ht="12.8" hidden="false" customHeight="true" outlineLevel="0" collapsed="false"/>
    <row r="1047313" customFormat="false" ht="12.8" hidden="false" customHeight="true" outlineLevel="0" collapsed="false"/>
    <row r="1047314" customFormat="false" ht="12.8" hidden="false" customHeight="true" outlineLevel="0" collapsed="false"/>
    <row r="1047315" customFormat="false" ht="12.8" hidden="false" customHeight="true" outlineLevel="0" collapsed="false"/>
    <row r="1047316" customFormat="false" ht="12.8" hidden="false" customHeight="true" outlineLevel="0" collapsed="false"/>
    <row r="1047317" customFormat="false" ht="12.8" hidden="false" customHeight="true" outlineLevel="0" collapsed="false"/>
    <row r="1047318" customFormat="false" ht="12.8" hidden="false" customHeight="true" outlineLevel="0" collapsed="false"/>
    <row r="1047319" customFormat="false" ht="12.8" hidden="false" customHeight="true" outlineLevel="0" collapsed="false"/>
    <row r="1047320" customFormat="false" ht="12.8" hidden="false" customHeight="true" outlineLevel="0" collapsed="false"/>
    <row r="1047321" customFormat="false" ht="12.8" hidden="false" customHeight="true" outlineLevel="0" collapsed="false"/>
    <row r="1047322" customFormat="false" ht="12.8" hidden="false" customHeight="true" outlineLevel="0" collapsed="false"/>
    <row r="1047323" customFormat="false" ht="12.8" hidden="false" customHeight="true" outlineLevel="0" collapsed="false"/>
    <row r="1047324" customFormat="false" ht="12.8" hidden="false" customHeight="true" outlineLevel="0" collapsed="false"/>
    <row r="1047325" customFormat="false" ht="12.8" hidden="false" customHeight="true" outlineLevel="0" collapsed="false"/>
    <row r="1047326" customFormat="false" ht="12.8" hidden="false" customHeight="true" outlineLevel="0" collapsed="false"/>
    <row r="1047327" customFormat="false" ht="12.8" hidden="false" customHeight="true" outlineLevel="0" collapsed="false"/>
    <row r="1047328" customFormat="false" ht="12.8" hidden="false" customHeight="true" outlineLevel="0" collapsed="false"/>
    <row r="1047329" customFormat="false" ht="12.8" hidden="false" customHeight="true" outlineLevel="0" collapsed="false"/>
    <row r="1047330" customFormat="false" ht="12.8" hidden="false" customHeight="true" outlineLevel="0" collapsed="false"/>
    <row r="1047331" customFormat="false" ht="12.8" hidden="false" customHeight="true" outlineLevel="0" collapsed="false"/>
    <row r="1047332" customFormat="false" ht="12.8" hidden="false" customHeight="true" outlineLevel="0" collapsed="false"/>
    <row r="1047333" customFormat="false" ht="12.8" hidden="false" customHeight="true" outlineLevel="0" collapsed="false"/>
    <row r="1047334" customFormat="false" ht="12.8" hidden="false" customHeight="true" outlineLevel="0" collapsed="false"/>
    <row r="1047335" customFormat="false" ht="12.8" hidden="false" customHeight="true" outlineLevel="0" collapsed="false"/>
    <row r="1047336" customFormat="false" ht="12.8" hidden="false" customHeight="true" outlineLevel="0" collapsed="false"/>
    <row r="1047337" customFormat="false" ht="12.8" hidden="false" customHeight="true" outlineLevel="0" collapsed="false"/>
    <row r="1047338" customFormat="false" ht="12.8" hidden="false" customHeight="true" outlineLevel="0" collapsed="false"/>
    <row r="1047339" customFormat="false" ht="12.8" hidden="false" customHeight="true" outlineLevel="0" collapsed="false"/>
    <row r="1047340" customFormat="false" ht="12.8" hidden="false" customHeight="true" outlineLevel="0" collapsed="false"/>
    <row r="1047341" customFormat="false" ht="12.8" hidden="false" customHeight="true" outlineLevel="0" collapsed="false"/>
    <row r="1047342" customFormat="false" ht="12.8" hidden="false" customHeight="true" outlineLevel="0" collapsed="false"/>
    <row r="1047343" customFormat="false" ht="12.8" hidden="false" customHeight="true" outlineLevel="0" collapsed="false"/>
    <row r="1047344" customFormat="false" ht="12.8" hidden="false" customHeight="true" outlineLevel="0" collapsed="false"/>
    <row r="1047345" customFormat="false" ht="12.8" hidden="false" customHeight="true" outlineLevel="0" collapsed="false"/>
    <row r="1047346" customFormat="false" ht="12.8" hidden="false" customHeight="true" outlineLevel="0" collapsed="false"/>
    <row r="1047347" customFormat="false" ht="12.8" hidden="false" customHeight="true" outlineLevel="0" collapsed="false"/>
    <row r="1047348" customFormat="false" ht="12.8" hidden="false" customHeight="true" outlineLevel="0" collapsed="false"/>
    <row r="1047349" customFormat="false" ht="12.8" hidden="false" customHeight="true" outlineLevel="0" collapsed="false"/>
    <row r="1047350" customFormat="false" ht="12.8" hidden="false" customHeight="true" outlineLevel="0" collapsed="false"/>
    <row r="1047351" customFormat="false" ht="12.8" hidden="false" customHeight="true" outlineLevel="0" collapsed="false"/>
    <row r="1047352" customFormat="false" ht="12.8" hidden="false" customHeight="true" outlineLevel="0" collapsed="false"/>
    <row r="1047353" customFormat="false" ht="12.8" hidden="false" customHeight="true" outlineLevel="0" collapsed="false"/>
    <row r="1047354" customFormat="false" ht="12.8" hidden="false" customHeight="true" outlineLevel="0" collapsed="false"/>
    <row r="1047355" customFormat="false" ht="12.8" hidden="false" customHeight="true" outlineLevel="0" collapsed="false"/>
    <row r="1047356" customFormat="false" ht="12.8" hidden="false" customHeight="true" outlineLevel="0" collapsed="false"/>
    <row r="1047357" customFormat="false" ht="12.8" hidden="false" customHeight="true" outlineLevel="0" collapsed="false"/>
    <row r="1047358" customFormat="false" ht="12.8" hidden="false" customHeight="true" outlineLevel="0" collapsed="false"/>
    <row r="1047359" customFormat="false" ht="12.8" hidden="false" customHeight="true" outlineLevel="0" collapsed="false"/>
    <row r="1047360" customFormat="false" ht="12.8" hidden="false" customHeight="true" outlineLevel="0" collapsed="false"/>
    <row r="1047361" customFormat="false" ht="12.8" hidden="false" customHeight="true" outlineLevel="0" collapsed="false"/>
    <row r="1047362" customFormat="false" ht="12.8" hidden="false" customHeight="true" outlineLevel="0" collapsed="false"/>
    <row r="1047363" customFormat="false" ht="12.8" hidden="false" customHeight="true" outlineLevel="0" collapsed="false"/>
    <row r="1047364" customFormat="false" ht="12.8" hidden="false" customHeight="true" outlineLevel="0" collapsed="false"/>
    <row r="1047365" customFormat="false" ht="12.8" hidden="false" customHeight="true" outlineLevel="0" collapsed="false"/>
    <row r="1047366" customFormat="false" ht="12.8" hidden="false" customHeight="true" outlineLevel="0" collapsed="false"/>
    <row r="1047367" customFormat="false" ht="12.8" hidden="false" customHeight="true" outlineLevel="0" collapsed="false"/>
    <row r="1047368" customFormat="false" ht="12.8" hidden="false" customHeight="true" outlineLevel="0" collapsed="false"/>
    <row r="1047369" customFormat="false" ht="12.8" hidden="false" customHeight="true" outlineLevel="0" collapsed="false"/>
    <row r="1047370" customFormat="false" ht="12.8" hidden="false" customHeight="true" outlineLevel="0" collapsed="false"/>
    <row r="1047371" customFormat="false" ht="12.8" hidden="false" customHeight="true" outlineLevel="0" collapsed="false"/>
    <row r="1047372" customFormat="false" ht="12.8" hidden="false" customHeight="true" outlineLevel="0" collapsed="false"/>
    <row r="1047373" customFormat="false" ht="12.8" hidden="false" customHeight="true" outlineLevel="0" collapsed="false"/>
    <row r="1047374" customFormat="false" ht="12.8" hidden="false" customHeight="true" outlineLevel="0" collapsed="false"/>
    <row r="1047375" customFormat="false" ht="12.8" hidden="false" customHeight="true" outlineLevel="0" collapsed="false"/>
    <row r="1047376" customFormat="false" ht="12.8" hidden="false" customHeight="true" outlineLevel="0" collapsed="false"/>
    <row r="1047377" customFormat="false" ht="12.8" hidden="false" customHeight="true" outlineLevel="0" collapsed="false"/>
    <row r="1047378" customFormat="false" ht="12.8" hidden="false" customHeight="true" outlineLevel="0" collapsed="false"/>
    <row r="1047379" customFormat="false" ht="12.8" hidden="false" customHeight="true" outlineLevel="0" collapsed="false"/>
    <row r="1047380" customFormat="false" ht="12.8" hidden="false" customHeight="true" outlineLevel="0" collapsed="false"/>
    <row r="1047381" customFormat="false" ht="12.8" hidden="false" customHeight="true" outlineLevel="0" collapsed="false"/>
    <row r="1047382" customFormat="false" ht="12.8" hidden="false" customHeight="true" outlineLevel="0" collapsed="false"/>
    <row r="1047383" customFormat="false" ht="12.8" hidden="false" customHeight="true" outlineLevel="0" collapsed="false"/>
    <row r="1047384" customFormat="false" ht="12.8" hidden="false" customHeight="true" outlineLevel="0" collapsed="false"/>
    <row r="1047385" customFormat="false" ht="12.8" hidden="false" customHeight="true" outlineLevel="0" collapsed="false"/>
    <row r="1047386" customFormat="false" ht="12.8" hidden="false" customHeight="true" outlineLevel="0" collapsed="false"/>
    <row r="1047387" customFormat="false" ht="12.8" hidden="false" customHeight="true" outlineLevel="0" collapsed="false"/>
    <row r="1047388" customFormat="false" ht="12.8" hidden="false" customHeight="true" outlineLevel="0" collapsed="false"/>
    <row r="1047389" customFormat="false" ht="12.8" hidden="false" customHeight="true" outlineLevel="0" collapsed="false"/>
    <row r="1047390" customFormat="false" ht="12.8" hidden="false" customHeight="true" outlineLevel="0" collapsed="false"/>
    <row r="1047391" customFormat="false" ht="12.8" hidden="false" customHeight="true" outlineLevel="0" collapsed="false"/>
    <row r="1047392" customFormat="false" ht="12.8" hidden="false" customHeight="true" outlineLevel="0" collapsed="false"/>
    <row r="1047393" customFormat="false" ht="12.8" hidden="false" customHeight="true" outlineLevel="0" collapsed="false"/>
    <row r="1047394" customFormat="false" ht="12.8" hidden="false" customHeight="true" outlineLevel="0" collapsed="false"/>
    <row r="1047395" customFormat="false" ht="12.8" hidden="false" customHeight="true" outlineLevel="0" collapsed="false"/>
    <row r="1047396" customFormat="false" ht="12.8" hidden="false" customHeight="true" outlineLevel="0" collapsed="false"/>
    <row r="1047397" customFormat="false" ht="12.8" hidden="false" customHeight="true" outlineLevel="0" collapsed="false"/>
    <row r="1047398" customFormat="false" ht="12.8" hidden="false" customHeight="true" outlineLevel="0" collapsed="false"/>
    <row r="1047399" customFormat="false" ht="12.8" hidden="false" customHeight="true" outlineLevel="0" collapsed="false"/>
    <row r="1047400" customFormat="false" ht="12.8" hidden="false" customHeight="true" outlineLevel="0" collapsed="false"/>
    <row r="1047401" customFormat="false" ht="12.8" hidden="false" customHeight="true" outlineLevel="0" collapsed="false"/>
    <row r="1047402" customFormat="false" ht="12.8" hidden="false" customHeight="true" outlineLevel="0" collapsed="false"/>
    <row r="1047403" customFormat="false" ht="12.8" hidden="false" customHeight="true" outlineLevel="0" collapsed="false"/>
    <row r="1047404" customFormat="false" ht="12.8" hidden="false" customHeight="true" outlineLevel="0" collapsed="false"/>
    <row r="1047405" customFormat="false" ht="12.8" hidden="false" customHeight="true" outlineLevel="0" collapsed="false"/>
    <row r="1047406" customFormat="false" ht="12.8" hidden="false" customHeight="true" outlineLevel="0" collapsed="false"/>
    <row r="1047407" customFormat="false" ht="12.8" hidden="false" customHeight="true" outlineLevel="0" collapsed="false"/>
    <row r="1047408" customFormat="false" ht="12.8" hidden="false" customHeight="true" outlineLevel="0" collapsed="false"/>
    <row r="1047409" customFormat="false" ht="12.8" hidden="false" customHeight="true" outlineLevel="0" collapsed="false"/>
    <row r="1047410" customFormat="false" ht="12.8" hidden="false" customHeight="true" outlineLevel="0" collapsed="false"/>
    <row r="1047411" customFormat="false" ht="12.8" hidden="false" customHeight="true" outlineLevel="0" collapsed="false"/>
    <row r="1047412" customFormat="false" ht="12.8" hidden="false" customHeight="true" outlineLevel="0" collapsed="false"/>
    <row r="1047413" customFormat="false" ht="12.8" hidden="false" customHeight="true" outlineLevel="0" collapsed="false"/>
    <row r="1047414" customFormat="false" ht="12.8" hidden="false" customHeight="true" outlineLevel="0" collapsed="false"/>
    <row r="1047415" customFormat="false" ht="12.8" hidden="false" customHeight="true" outlineLevel="0" collapsed="false"/>
    <row r="1047416" customFormat="false" ht="12.8" hidden="false" customHeight="true" outlineLevel="0" collapsed="false"/>
    <row r="1047417" customFormat="false" ht="12.8" hidden="false" customHeight="true" outlineLevel="0" collapsed="false"/>
    <row r="1047418" customFormat="false" ht="12.8" hidden="false" customHeight="true" outlineLevel="0" collapsed="false"/>
    <row r="1047419" customFormat="false" ht="12.8" hidden="false" customHeight="true" outlineLevel="0" collapsed="false"/>
    <row r="1047420" customFormat="false" ht="12.8" hidden="false" customHeight="true" outlineLevel="0" collapsed="false"/>
    <row r="1047421" customFormat="false" ht="12.8" hidden="false" customHeight="true" outlineLevel="0" collapsed="false"/>
    <row r="1047422" customFormat="false" ht="12.8" hidden="false" customHeight="true" outlineLevel="0" collapsed="false"/>
    <row r="1047423" customFormat="false" ht="12.8" hidden="false" customHeight="true" outlineLevel="0" collapsed="false"/>
    <row r="1047424" customFormat="false" ht="12.8" hidden="false" customHeight="true" outlineLevel="0" collapsed="false"/>
    <row r="1047425" customFormat="false" ht="12.8" hidden="false" customHeight="true" outlineLevel="0" collapsed="false"/>
    <row r="1047426" customFormat="false" ht="12.8" hidden="false" customHeight="true" outlineLevel="0" collapsed="false"/>
    <row r="1047427" customFormat="false" ht="12.8" hidden="false" customHeight="true" outlineLevel="0" collapsed="false"/>
    <row r="1047428" customFormat="false" ht="12.8" hidden="false" customHeight="true" outlineLevel="0" collapsed="false"/>
    <row r="1047429" customFormat="false" ht="12.8" hidden="false" customHeight="true" outlineLevel="0" collapsed="false"/>
    <row r="1047430" customFormat="false" ht="12.8" hidden="false" customHeight="true" outlineLevel="0" collapsed="false"/>
    <row r="1047431" customFormat="false" ht="12.8" hidden="false" customHeight="true" outlineLevel="0" collapsed="false"/>
    <row r="1047432" customFormat="false" ht="12.8" hidden="false" customHeight="true" outlineLevel="0" collapsed="false"/>
    <row r="1047433" customFormat="false" ht="12.8" hidden="false" customHeight="true" outlineLevel="0" collapsed="false"/>
    <row r="1047434" customFormat="false" ht="12.8" hidden="false" customHeight="true" outlineLevel="0" collapsed="false"/>
    <row r="1047435" customFormat="false" ht="12.8" hidden="false" customHeight="true" outlineLevel="0" collapsed="false"/>
    <row r="1047436" customFormat="false" ht="12.8" hidden="false" customHeight="true" outlineLevel="0" collapsed="false"/>
    <row r="1047437" customFormat="false" ht="12.8" hidden="false" customHeight="true" outlineLevel="0" collapsed="false"/>
    <row r="1047438" customFormat="false" ht="12.8" hidden="false" customHeight="true" outlineLevel="0" collapsed="false"/>
    <row r="1047439" customFormat="false" ht="12.8" hidden="false" customHeight="true" outlineLevel="0" collapsed="false"/>
    <row r="1047440" customFormat="false" ht="12.8" hidden="false" customHeight="true" outlineLevel="0" collapsed="false"/>
    <row r="1047441" customFormat="false" ht="12.8" hidden="false" customHeight="true" outlineLevel="0" collapsed="false"/>
    <row r="1047442" customFormat="false" ht="12.8" hidden="false" customHeight="true" outlineLevel="0" collapsed="false"/>
    <row r="1047443" customFormat="false" ht="12.8" hidden="false" customHeight="true" outlineLevel="0" collapsed="false"/>
    <row r="1047444" customFormat="false" ht="12.8" hidden="false" customHeight="true" outlineLevel="0" collapsed="false"/>
    <row r="1047445" customFormat="false" ht="12.8" hidden="false" customHeight="true" outlineLevel="0" collapsed="false"/>
    <row r="1047446" customFormat="false" ht="12.8" hidden="false" customHeight="true" outlineLevel="0" collapsed="false"/>
    <row r="1047447" customFormat="false" ht="12.8" hidden="false" customHeight="true" outlineLevel="0" collapsed="false"/>
    <row r="1047448" customFormat="false" ht="12.8" hidden="false" customHeight="true" outlineLevel="0" collapsed="false"/>
    <row r="1047449" customFormat="false" ht="12.8" hidden="false" customHeight="true" outlineLevel="0" collapsed="false"/>
    <row r="1047450" customFormat="false" ht="12.8" hidden="false" customHeight="true" outlineLevel="0" collapsed="false"/>
    <row r="1047451" customFormat="false" ht="12.8" hidden="false" customHeight="true" outlineLevel="0" collapsed="false"/>
    <row r="1047452" customFormat="false" ht="12.8" hidden="false" customHeight="true" outlineLevel="0" collapsed="false"/>
    <row r="1047453" customFormat="false" ht="12.8" hidden="false" customHeight="true" outlineLevel="0" collapsed="false"/>
    <row r="1047454" customFormat="false" ht="12.8" hidden="false" customHeight="true" outlineLevel="0" collapsed="false"/>
    <row r="1047455" customFormat="false" ht="12.8" hidden="false" customHeight="true" outlineLevel="0" collapsed="false"/>
    <row r="1047456" customFormat="false" ht="12.8" hidden="false" customHeight="true" outlineLevel="0" collapsed="false"/>
    <row r="1047457" customFormat="false" ht="12.8" hidden="false" customHeight="true" outlineLevel="0" collapsed="false"/>
    <row r="1047458" customFormat="false" ht="12.8" hidden="false" customHeight="true" outlineLevel="0" collapsed="false"/>
    <row r="1047459" customFormat="false" ht="12.8" hidden="false" customHeight="true" outlineLevel="0" collapsed="false"/>
    <row r="1047460" customFormat="false" ht="12.8" hidden="false" customHeight="true" outlineLevel="0" collapsed="false"/>
    <row r="1047461" customFormat="false" ht="12.8" hidden="false" customHeight="true" outlineLevel="0" collapsed="false"/>
    <row r="1047462" customFormat="false" ht="12.8" hidden="false" customHeight="true" outlineLevel="0" collapsed="false"/>
    <row r="1047463" customFormat="false" ht="12.8" hidden="false" customHeight="true" outlineLevel="0" collapsed="false"/>
    <row r="1047464" customFormat="false" ht="12.8" hidden="false" customHeight="true" outlineLevel="0" collapsed="false"/>
    <row r="1047465" customFormat="false" ht="12.8" hidden="false" customHeight="true" outlineLevel="0" collapsed="false"/>
    <row r="1047466" customFormat="false" ht="12.8" hidden="false" customHeight="true" outlineLevel="0" collapsed="false"/>
    <row r="1047467" customFormat="false" ht="12.8" hidden="false" customHeight="true" outlineLevel="0" collapsed="false"/>
    <row r="1047468" customFormat="false" ht="12.8" hidden="false" customHeight="true" outlineLevel="0" collapsed="false"/>
    <row r="1047469" customFormat="false" ht="12.8" hidden="false" customHeight="true" outlineLevel="0" collapsed="false"/>
    <row r="1047470" customFormat="false" ht="12.8" hidden="false" customHeight="true" outlineLevel="0" collapsed="false"/>
    <row r="1047471" customFormat="false" ht="12.8" hidden="false" customHeight="true" outlineLevel="0" collapsed="false"/>
    <row r="1047472" customFormat="false" ht="12.8" hidden="false" customHeight="true" outlineLevel="0" collapsed="false"/>
    <row r="1047473" customFormat="false" ht="12.8" hidden="false" customHeight="true" outlineLevel="0" collapsed="false"/>
    <row r="1047474" customFormat="false" ht="12.8" hidden="false" customHeight="true" outlineLevel="0" collapsed="false"/>
    <row r="1047475" customFormat="false" ht="12.8" hidden="false" customHeight="true" outlineLevel="0" collapsed="false"/>
    <row r="1047476" customFormat="false" ht="12.8" hidden="false" customHeight="true" outlineLevel="0" collapsed="false"/>
    <row r="1047477" customFormat="false" ht="12.8" hidden="false" customHeight="true" outlineLevel="0" collapsed="false"/>
    <row r="1047478" customFormat="false" ht="12.8" hidden="false" customHeight="true" outlineLevel="0" collapsed="false"/>
    <row r="1047479" customFormat="false" ht="12.8" hidden="false" customHeight="true" outlineLevel="0" collapsed="false"/>
    <row r="1047480" customFormat="false" ht="12.8" hidden="false" customHeight="true" outlineLevel="0" collapsed="false"/>
    <row r="1047481" customFormat="false" ht="12.8" hidden="false" customHeight="true" outlineLevel="0" collapsed="false"/>
    <row r="1047482" customFormat="false" ht="12.8" hidden="false" customHeight="true" outlineLevel="0" collapsed="false"/>
    <row r="1047483" customFormat="false" ht="12.8" hidden="false" customHeight="true" outlineLevel="0" collapsed="false"/>
    <row r="1047484" customFormat="false" ht="12.8" hidden="false" customHeight="true" outlineLevel="0" collapsed="false"/>
    <row r="1047485" customFormat="false" ht="12.8" hidden="false" customHeight="true" outlineLevel="0" collapsed="false"/>
    <row r="1047486" customFormat="false" ht="12.8" hidden="false" customHeight="true" outlineLevel="0" collapsed="false"/>
    <row r="1047487" customFormat="false" ht="12.8" hidden="false" customHeight="true" outlineLevel="0" collapsed="false"/>
    <row r="1047488" customFormat="false" ht="12.8" hidden="false" customHeight="true" outlineLevel="0" collapsed="false"/>
    <row r="1047489" customFormat="false" ht="12.8" hidden="false" customHeight="true" outlineLevel="0" collapsed="false"/>
    <row r="1047490" customFormat="false" ht="12.8" hidden="false" customHeight="true" outlineLevel="0" collapsed="false"/>
    <row r="1047491" customFormat="false" ht="12.8" hidden="false" customHeight="true" outlineLevel="0" collapsed="false"/>
    <row r="1047492" customFormat="false" ht="12.8" hidden="false" customHeight="true" outlineLevel="0" collapsed="false"/>
    <row r="1047493" customFormat="false" ht="12.8" hidden="false" customHeight="true" outlineLevel="0" collapsed="false"/>
    <row r="1047494" customFormat="false" ht="12.8" hidden="false" customHeight="true" outlineLevel="0" collapsed="false"/>
    <row r="1047495" customFormat="false" ht="12.8" hidden="false" customHeight="true" outlineLevel="0" collapsed="false"/>
    <row r="1047496" customFormat="false" ht="12.8" hidden="false" customHeight="true" outlineLevel="0" collapsed="false"/>
    <row r="1047497" customFormat="false" ht="12.8" hidden="false" customHeight="true" outlineLevel="0" collapsed="false"/>
    <row r="1047498" customFormat="false" ht="12.8" hidden="false" customHeight="true" outlineLevel="0" collapsed="false"/>
    <row r="1047499" customFormat="false" ht="12.8" hidden="false" customHeight="true" outlineLevel="0" collapsed="false"/>
    <row r="1047500" customFormat="false" ht="12.8" hidden="false" customHeight="true" outlineLevel="0" collapsed="false"/>
    <row r="1047501" customFormat="false" ht="12.8" hidden="false" customHeight="true" outlineLevel="0" collapsed="false"/>
    <row r="1047502" customFormat="false" ht="12.8" hidden="false" customHeight="true" outlineLevel="0" collapsed="false"/>
    <row r="1047503" customFormat="false" ht="12.8" hidden="false" customHeight="true" outlineLevel="0" collapsed="false"/>
    <row r="1047504" customFormat="false" ht="12.8" hidden="false" customHeight="true" outlineLevel="0" collapsed="false"/>
    <row r="1047505" customFormat="false" ht="12.8" hidden="false" customHeight="true" outlineLevel="0" collapsed="false"/>
    <row r="1047506" customFormat="false" ht="12.8" hidden="false" customHeight="true" outlineLevel="0" collapsed="false"/>
    <row r="1047507" customFormat="false" ht="12.8" hidden="false" customHeight="true" outlineLevel="0" collapsed="false"/>
    <row r="1047508" customFormat="false" ht="12.8" hidden="false" customHeight="true" outlineLevel="0" collapsed="false"/>
    <row r="1047509" customFormat="false" ht="12.8" hidden="false" customHeight="true" outlineLevel="0" collapsed="false"/>
    <row r="1047510" customFormat="false" ht="12.8" hidden="false" customHeight="true" outlineLevel="0" collapsed="false"/>
    <row r="1047511" customFormat="false" ht="12.8" hidden="false" customHeight="true" outlineLevel="0" collapsed="false"/>
    <row r="1047512" customFormat="false" ht="12.8" hidden="false" customHeight="true" outlineLevel="0" collapsed="false"/>
    <row r="1047513" customFormat="false" ht="12.8" hidden="false" customHeight="true" outlineLevel="0" collapsed="false"/>
    <row r="1047514" customFormat="false" ht="12.8" hidden="false" customHeight="true" outlineLevel="0" collapsed="false"/>
    <row r="1047515" customFormat="false" ht="12.8" hidden="false" customHeight="true" outlineLevel="0" collapsed="false"/>
    <row r="1047516" customFormat="false" ht="12.8" hidden="false" customHeight="true" outlineLevel="0" collapsed="false"/>
    <row r="1047517" customFormat="false" ht="12.8" hidden="false" customHeight="true" outlineLevel="0" collapsed="false"/>
    <row r="1047518" customFormat="false" ht="12.8" hidden="false" customHeight="true" outlineLevel="0" collapsed="false"/>
    <row r="1047519" customFormat="false" ht="12.8" hidden="false" customHeight="true" outlineLevel="0" collapsed="false"/>
    <row r="1047520" customFormat="false" ht="12.8" hidden="false" customHeight="true" outlineLevel="0" collapsed="false"/>
    <row r="1047521" customFormat="false" ht="12.8" hidden="false" customHeight="true" outlineLevel="0" collapsed="false"/>
    <row r="1047522" customFormat="false" ht="12.8" hidden="false" customHeight="true" outlineLevel="0" collapsed="false"/>
    <row r="1047523" customFormat="false" ht="12.8" hidden="false" customHeight="true" outlineLevel="0" collapsed="false"/>
    <row r="1047524" customFormat="false" ht="12.8" hidden="false" customHeight="true" outlineLevel="0" collapsed="false"/>
    <row r="1047525" customFormat="false" ht="12.8" hidden="false" customHeight="true" outlineLevel="0" collapsed="false"/>
    <row r="1047526" customFormat="false" ht="12.8" hidden="false" customHeight="true" outlineLevel="0" collapsed="false"/>
    <row r="1047527" customFormat="false" ht="12.8" hidden="false" customHeight="true" outlineLevel="0" collapsed="false"/>
    <row r="1047528" customFormat="false" ht="12.8" hidden="false" customHeight="true" outlineLevel="0" collapsed="false"/>
    <row r="1047529" customFormat="false" ht="12.8" hidden="false" customHeight="true" outlineLevel="0" collapsed="false"/>
    <row r="1047530" customFormat="false" ht="12.8" hidden="false" customHeight="true" outlineLevel="0" collapsed="false"/>
    <row r="1047531" customFormat="false" ht="12.8" hidden="false" customHeight="true" outlineLevel="0" collapsed="false"/>
    <row r="1047532" customFormat="false" ht="12.8" hidden="false" customHeight="true" outlineLevel="0" collapsed="false"/>
    <row r="1047533" customFormat="false" ht="12.8" hidden="false" customHeight="true" outlineLevel="0" collapsed="false"/>
    <row r="1047534" customFormat="false" ht="12.8" hidden="false" customHeight="true" outlineLevel="0" collapsed="false"/>
    <row r="1047535" customFormat="false" ht="12.8" hidden="false" customHeight="true" outlineLevel="0" collapsed="false"/>
    <row r="1047536" customFormat="false" ht="12.8" hidden="false" customHeight="true" outlineLevel="0" collapsed="false"/>
    <row r="1047537" customFormat="false" ht="12.8" hidden="false" customHeight="true" outlineLevel="0" collapsed="false"/>
    <row r="1047538" customFormat="false" ht="12.8" hidden="false" customHeight="true" outlineLevel="0" collapsed="false"/>
    <row r="1047539" customFormat="false" ht="12.8" hidden="false" customHeight="true" outlineLevel="0" collapsed="false"/>
    <row r="1047540" customFormat="false" ht="12.8" hidden="false" customHeight="true" outlineLevel="0" collapsed="false"/>
    <row r="1047541" customFormat="false" ht="12.8" hidden="false" customHeight="true" outlineLevel="0" collapsed="false"/>
    <row r="1047542" customFormat="false" ht="12.8" hidden="false" customHeight="true" outlineLevel="0" collapsed="false"/>
    <row r="1047543" customFormat="false" ht="12.8" hidden="false" customHeight="true" outlineLevel="0" collapsed="false"/>
    <row r="1047544" customFormat="false" ht="12.8" hidden="false" customHeight="true" outlineLevel="0" collapsed="false"/>
    <row r="1047545" customFormat="false" ht="12.8" hidden="false" customHeight="true" outlineLevel="0" collapsed="false"/>
    <row r="1047546" customFormat="false" ht="12.8" hidden="false" customHeight="true" outlineLevel="0" collapsed="false"/>
    <row r="1047547" customFormat="false" ht="12.8" hidden="false" customHeight="true" outlineLevel="0" collapsed="false"/>
    <row r="1047548" customFormat="false" ht="12.8" hidden="false" customHeight="true" outlineLevel="0" collapsed="false"/>
    <row r="1047549" customFormat="false" ht="12.8" hidden="false" customHeight="true" outlineLevel="0" collapsed="false"/>
    <row r="1047550" customFormat="false" ht="12.8" hidden="false" customHeight="true" outlineLevel="0" collapsed="false"/>
    <row r="1047551" customFormat="false" ht="12.8" hidden="false" customHeight="true" outlineLevel="0" collapsed="false"/>
    <row r="1047552" customFormat="false" ht="12.8" hidden="false" customHeight="true" outlineLevel="0" collapsed="false"/>
    <row r="1047553" customFormat="false" ht="12.8" hidden="false" customHeight="true" outlineLevel="0" collapsed="false"/>
    <row r="1047554" customFormat="false" ht="12.8" hidden="false" customHeight="true" outlineLevel="0" collapsed="false"/>
    <row r="1047555" customFormat="false" ht="12.8" hidden="false" customHeight="true" outlineLevel="0" collapsed="false"/>
    <row r="1047556" customFormat="false" ht="12.8" hidden="false" customHeight="true" outlineLevel="0" collapsed="false"/>
    <row r="1047557" customFormat="false" ht="12.8" hidden="false" customHeight="true" outlineLevel="0" collapsed="false"/>
    <row r="1047558" customFormat="false" ht="12.8" hidden="false" customHeight="true" outlineLevel="0" collapsed="false"/>
    <row r="1047559" customFormat="false" ht="12.8" hidden="false" customHeight="true" outlineLevel="0" collapsed="false"/>
    <row r="1047560" customFormat="false" ht="12.8" hidden="false" customHeight="true" outlineLevel="0" collapsed="false"/>
    <row r="1047561" customFormat="false" ht="12.8" hidden="false" customHeight="true" outlineLevel="0" collapsed="false"/>
    <row r="1047562" customFormat="false" ht="12.8" hidden="false" customHeight="true" outlineLevel="0" collapsed="false"/>
    <row r="1047563" customFormat="false" ht="12.8" hidden="false" customHeight="true" outlineLevel="0" collapsed="false"/>
    <row r="1047564" customFormat="false" ht="12.8" hidden="false" customHeight="true" outlineLevel="0" collapsed="false"/>
    <row r="1047565" customFormat="false" ht="12.8" hidden="false" customHeight="true" outlineLevel="0" collapsed="false"/>
    <row r="1047566" customFormat="false" ht="12.8" hidden="false" customHeight="true" outlineLevel="0" collapsed="false"/>
    <row r="1047567" customFormat="false" ht="12.8" hidden="false" customHeight="true" outlineLevel="0" collapsed="false"/>
    <row r="1047568" customFormat="false" ht="12.8" hidden="false" customHeight="true" outlineLevel="0" collapsed="false"/>
    <row r="1047569" customFormat="false" ht="12.8" hidden="false" customHeight="true" outlineLevel="0" collapsed="false"/>
    <row r="1047570" customFormat="false" ht="12.8" hidden="false" customHeight="true" outlineLevel="0" collapsed="false"/>
    <row r="1047571" customFormat="false" ht="12.8" hidden="false" customHeight="true" outlineLevel="0" collapsed="false"/>
    <row r="1047572" customFormat="false" ht="12.8" hidden="false" customHeight="true" outlineLevel="0" collapsed="false"/>
    <row r="1047573" customFormat="false" ht="12.8" hidden="false" customHeight="true" outlineLevel="0" collapsed="false"/>
    <row r="1047574" customFormat="false" ht="12.8" hidden="false" customHeight="true" outlineLevel="0" collapsed="false"/>
    <row r="1047575" customFormat="false" ht="12.8" hidden="false" customHeight="true" outlineLevel="0" collapsed="false"/>
    <row r="1047576" customFormat="false" ht="12.8" hidden="false" customHeight="true" outlineLevel="0" collapsed="false"/>
    <row r="1047577" customFormat="false" ht="12.8" hidden="false" customHeight="true" outlineLevel="0" collapsed="false"/>
    <row r="1047578" customFormat="false" ht="12.8" hidden="false" customHeight="true" outlineLevel="0" collapsed="false"/>
    <row r="1047579" customFormat="false" ht="12.8" hidden="false" customHeight="true" outlineLevel="0" collapsed="false"/>
    <row r="1047580" customFormat="false" ht="12.8" hidden="false" customHeight="true" outlineLevel="0" collapsed="false"/>
    <row r="1047581" customFormat="false" ht="12.8" hidden="false" customHeight="true" outlineLevel="0" collapsed="false"/>
    <row r="1047582" customFormat="false" ht="12.8" hidden="false" customHeight="true" outlineLevel="0" collapsed="false"/>
    <row r="1047583" customFormat="false" ht="12.8" hidden="false" customHeight="true" outlineLevel="0" collapsed="false"/>
    <row r="1047584" customFormat="false" ht="12.8" hidden="false" customHeight="true" outlineLevel="0" collapsed="false"/>
    <row r="1047585" customFormat="false" ht="12.8" hidden="false" customHeight="true" outlineLevel="0" collapsed="false"/>
    <row r="1047586" customFormat="false" ht="12.8" hidden="false" customHeight="true" outlineLevel="0" collapsed="false"/>
    <row r="1047587" customFormat="false" ht="12.8" hidden="false" customHeight="true" outlineLevel="0" collapsed="false"/>
    <row r="1047588" customFormat="false" ht="12.8" hidden="false" customHeight="true" outlineLevel="0" collapsed="false"/>
    <row r="1047589" customFormat="false" ht="12.8" hidden="false" customHeight="true" outlineLevel="0" collapsed="false"/>
    <row r="1047590" customFormat="false" ht="12.8" hidden="false" customHeight="true" outlineLevel="0" collapsed="false"/>
    <row r="1047591" customFormat="false" ht="12.8" hidden="false" customHeight="true" outlineLevel="0" collapsed="false"/>
    <row r="1047592" customFormat="false" ht="12.8" hidden="false" customHeight="true" outlineLevel="0" collapsed="false"/>
    <row r="1047593" customFormat="false" ht="12.8" hidden="false" customHeight="true" outlineLevel="0" collapsed="false"/>
    <row r="1047594" customFormat="false" ht="12.8" hidden="false" customHeight="true" outlineLevel="0" collapsed="false"/>
    <row r="1047595" customFormat="false" ht="12.8" hidden="false" customHeight="true" outlineLevel="0" collapsed="false"/>
    <row r="1047596" customFormat="false" ht="12.8" hidden="false" customHeight="true" outlineLevel="0" collapsed="false"/>
    <row r="1047597" customFormat="false" ht="12.8" hidden="false" customHeight="true" outlineLevel="0" collapsed="false"/>
    <row r="1047598" customFormat="false" ht="12.8" hidden="false" customHeight="true" outlineLevel="0" collapsed="false"/>
    <row r="1047599" customFormat="false" ht="12.8" hidden="false" customHeight="true" outlineLevel="0" collapsed="false"/>
    <row r="1047600" customFormat="false" ht="12.8" hidden="false" customHeight="true" outlineLevel="0" collapsed="false"/>
    <row r="1047601" customFormat="false" ht="12.8" hidden="false" customHeight="true" outlineLevel="0" collapsed="false"/>
    <row r="1047602" customFormat="false" ht="12.8" hidden="false" customHeight="true" outlineLevel="0" collapsed="false"/>
    <row r="1047603" customFormat="false" ht="12.8" hidden="false" customHeight="true" outlineLevel="0" collapsed="false"/>
    <row r="1047604" customFormat="false" ht="12.8" hidden="false" customHeight="true" outlineLevel="0" collapsed="false"/>
    <row r="1047605" customFormat="false" ht="12.8" hidden="false" customHeight="true" outlineLevel="0" collapsed="false"/>
    <row r="1047606" customFormat="false" ht="12.8" hidden="false" customHeight="true" outlineLevel="0" collapsed="false"/>
    <row r="1047607" customFormat="false" ht="12.8" hidden="false" customHeight="true" outlineLevel="0" collapsed="false"/>
    <row r="1047608" customFormat="false" ht="12.8" hidden="false" customHeight="true" outlineLevel="0" collapsed="false"/>
    <row r="1047609" customFormat="false" ht="12.8" hidden="false" customHeight="true" outlineLevel="0" collapsed="false"/>
    <row r="1047610" customFormat="false" ht="12.8" hidden="false" customHeight="true" outlineLevel="0" collapsed="false"/>
    <row r="1047611" customFormat="false" ht="12.8" hidden="false" customHeight="true" outlineLevel="0" collapsed="false"/>
    <row r="1047612" customFormat="false" ht="12.8" hidden="false" customHeight="true" outlineLevel="0" collapsed="false"/>
    <row r="1047613" customFormat="false" ht="12.8" hidden="false" customHeight="true" outlineLevel="0" collapsed="false"/>
    <row r="1047614" customFormat="false" ht="12.8" hidden="false" customHeight="true" outlineLevel="0" collapsed="false"/>
    <row r="1047615" customFormat="false" ht="12.8" hidden="false" customHeight="true" outlineLevel="0" collapsed="false"/>
    <row r="1047616" customFormat="false" ht="12.8" hidden="false" customHeight="true" outlineLevel="0" collapsed="false"/>
    <row r="1047617" customFormat="false" ht="12.8" hidden="false" customHeight="true" outlineLevel="0" collapsed="false"/>
    <row r="1047618" customFormat="false" ht="12.8" hidden="false" customHeight="true" outlineLevel="0" collapsed="false"/>
    <row r="1047619" customFormat="false" ht="12.8" hidden="false" customHeight="true" outlineLevel="0" collapsed="false"/>
    <row r="1047620" customFormat="false" ht="12.8" hidden="false" customHeight="true" outlineLevel="0" collapsed="false"/>
    <row r="1047621" customFormat="false" ht="12.8" hidden="false" customHeight="true" outlineLevel="0" collapsed="false"/>
    <row r="1047622" customFormat="false" ht="12.8" hidden="false" customHeight="true" outlineLevel="0" collapsed="false"/>
    <row r="1047623" customFormat="false" ht="12.8" hidden="false" customHeight="true" outlineLevel="0" collapsed="false"/>
    <row r="1047624" customFormat="false" ht="12.8" hidden="false" customHeight="true" outlineLevel="0" collapsed="false"/>
    <row r="1047625" customFormat="false" ht="12.8" hidden="false" customHeight="true" outlineLevel="0" collapsed="false"/>
    <row r="1047626" customFormat="false" ht="12.8" hidden="false" customHeight="true" outlineLevel="0" collapsed="false"/>
    <row r="1047627" customFormat="false" ht="12.8" hidden="false" customHeight="true" outlineLevel="0" collapsed="false"/>
    <row r="1047628" customFormat="false" ht="12.8" hidden="false" customHeight="true" outlineLevel="0" collapsed="false"/>
    <row r="1047629" customFormat="false" ht="12.8" hidden="false" customHeight="true" outlineLevel="0" collapsed="false"/>
    <row r="1047630" customFormat="false" ht="12.8" hidden="false" customHeight="true" outlineLevel="0" collapsed="false"/>
    <row r="1047631" customFormat="false" ht="12.8" hidden="false" customHeight="true" outlineLevel="0" collapsed="false"/>
    <row r="1047632" customFormat="false" ht="12.8" hidden="false" customHeight="true" outlineLevel="0" collapsed="false"/>
    <row r="1047633" customFormat="false" ht="12.8" hidden="false" customHeight="true" outlineLevel="0" collapsed="false"/>
    <row r="1047634" customFormat="false" ht="12.8" hidden="false" customHeight="true" outlineLevel="0" collapsed="false"/>
    <row r="1047635" customFormat="false" ht="12.8" hidden="false" customHeight="true" outlineLevel="0" collapsed="false"/>
    <row r="1047636" customFormat="false" ht="12.8" hidden="false" customHeight="true" outlineLevel="0" collapsed="false"/>
    <row r="1047637" customFormat="false" ht="12.8" hidden="false" customHeight="true" outlineLevel="0" collapsed="false"/>
    <row r="1047638" customFormat="false" ht="12.8" hidden="false" customHeight="true" outlineLevel="0" collapsed="false"/>
    <row r="1047639" customFormat="false" ht="12.8" hidden="false" customHeight="true" outlineLevel="0" collapsed="false"/>
    <row r="1047640" customFormat="false" ht="12.8" hidden="false" customHeight="true" outlineLevel="0" collapsed="false"/>
    <row r="1047641" customFormat="false" ht="12.8" hidden="false" customHeight="true" outlineLevel="0" collapsed="false"/>
    <row r="1047642" customFormat="false" ht="12.8" hidden="false" customHeight="true" outlineLevel="0" collapsed="false"/>
    <row r="1047643" customFormat="false" ht="12.8" hidden="false" customHeight="true" outlineLevel="0" collapsed="false"/>
    <row r="1047644" customFormat="false" ht="12.8" hidden="false" customHeight="true" outlineLevel="0" collapsed="false"/>
    <row r="1047645" customFormat="false" ht="12.8" hidden="false" customHeight="true" outlineLevel="0" collapsed="false"/>
    <row r="1047646" customFormat="false" ht="12.8" hidden="false" customHeight="true" outlineLevel="0" collapsed="false"/>
    <row r="1047647" customFormat="false" ht="12.8" hidden="false" customHeight="true" outlineLevel="0" collapsed="false"/>
    <row r="1047648" customFormat="false" ht="12.8" hidden="false" customHeight="true" outlineLevel="0" collapsed="false"/>
    <row r="1047649" customFormat="false" ht="12.8" hidden="false" customHeight="true" outlineLevel="0" collapsed="false"/>
    <row r="1047650" customFormat="false" ht="12.8" hidden="false" customHeight="true" outlineLevel="0" collapsed="false"/>
    <row r="1047651" customFormat="false" ht="12.8" hidden="false" customHeight="true" outlineLevel="0" collapsed="false"/>
    <row r="1047652" customFormat="false" ht="12.8" hidden="false" customHeight="true" outlineLevel="0" collapsed="false"/>
    <row r="1047653" customFormat="false" ht="12.8" hidden="false" customHeight="true" outlineLevel="0" collapsed="false"/>
    <row r="1047654" customFormat="false" ht="12.8" hidden="false" customHeight="true" outlineLevel="0" collapsed="false"/>
    <row r="1047655" customFormat="false" ht="12.8" hidden="false" customHeight="true" outlineLevel="0" collapsed="false"/>
    <row r="1047656" customFormat="false" ht="12.8" hidden="false" customHeight="true" outlineLevel="0" collapsed="false"/>
    <row r="1047657" customFormat="false" ht="12.8" hidden="false" customHeight="true" outlineLevel="0" collapsed="false"/>
    <row r="1047658" customFormat="false" ht="12.8" hidden="false" customHeight="true" outlineLevel="0" collapsed="false"/>
    <row r="1047659" customFormat="false" ht="12.8" hidden="false" customHeight="true" outlineLevel="0" collapsed="false"/>
    <row r="1047660" customFormat="false" ht="12.8" hidden="false" customHeight="true" outlineLevel="0" collapsed="false"/>
    <row r="1047661" customFormat="false" ht="12.8" hidden="false" customHeight="true" outlineLevel="0" collapsed="false"/>
    <row r="1047662" customFormat="false" ht="12.8" hidden="false" customHeight="true" outlineLevel="0" collapsed="false"/>
    <row r="1047663" customFormat="false" ht="12.8" hidden="false" customHeight="true" outlineLevel="0" collapsed="false"/>
    <row r="1047664" customFormat="false" ht="12.8" hidden="false" customHeight="true" outlineLevel="0" collapsed="false"/>
    <row r="1047665" customFormat="false" ht="12.8" hidden="false" customHeight="true" outlineLevel="0" collapsed="false"/>
    <row r="1047666" customFormat="false" ht="12.8" hidden="false" customHeight="true" outlineLevel="0" collapsed="false"/>
    <row r="1047667" customFormat="false" ht="12.8" hidden="false" customHeight="true" outlineLevel="0" collapsed="false"/>
    <row r="1047668" customFormat="false" ht="12.8" hidden="false" customHeight="true" outlineLevel="0" collapsed="false"/>
    <row r="1047669" customFormat="false" ht="12.8" hidden="false" customHeight="true" outlineLevel="0" collapsed="false"/>
    <row r="1047670" customFormat="false" ht="12.8" hidden="false" customHeight="true" outlineLevel="0" collapsed="false"/>
    <row r="1047671" customFormat="false" ht="12.8" hidden="false" customHeight="true" outlineLevel="0" collapsed="false"/>
    <row r="1047672" customFormat="false" ht="12.8" hidden="false" customHeight="true" outlineLevel="0" collapsed="false"/>
    <row r="1047673" customFormat="false" ht="12.8" hidden="false" customHeight="true" outlineLevel="0" collapsed="false"/>
    <row r="1047674" customFormat="false" ht="12.8" hidden="false" customHeight="true" outlineLevel="0" collapsed="false"/>
    <row r="1047675" customFormat="false" ht="12.8" hidden="false" customHeight="true" outlineLevel="0" collapsed="false"/>
    <row r="1047676" customFormat="false" ht="12.8" hidden="false" customHeight="true" outlineLevel="0" collapsed="false"/>
    <row r="1047677" customFormat="false" ht="12.8" hidden="false" customHeight="true" outlineLevel="0" collapsed="false"/>
    <row r="1047678" customFormat="false" ht="12.8" hidden="false" customHeight="true" outlineLevel="0" collapsed="false"/>
    <row r="1047679" customFormat="false" ht="12.8" hidden="false" customHeight="true" outlineLevel="0" collapsed="false"/>
    <row r="1047680" customFormat="false" ht="12.8" hidden="false" customHeight="true" outlineLevel="0" collapsed="false"/>
    <row r="1047681" customFormat="false" ht="12.8" hidden="false" customHeight="true" outlineLevel="0" collapsed="false"/>
    <row r="1047682" customFormat="false" ht="12.8" hidden="false" customHeight="true" outlineLevel="0" collapsed="false"/>
    <row r="1047683" customFormat="false" ht="12.8" hidden="false" customHeight="true" outlineLevel="0" collapsed="false"/>
    <row r="1047684" customFormat="false" ht="12.8" hidden="false" customHeight="true" outlineLevel="0" collapsed="false"/>
    <row r="1047685" customFormat="false" ht="12.8" hidden="false" customHeight="true" outlineLevel="0" collapsed="false"/>
    <row r="1047686" customFormat="false" ht="12.8" hidden="false" customHeight="true" outlineLevel="0" collapsed="false"/>
    <row r="1047687" customFormat="false" ht="12.8" hidden="false" customHeight="true" outlineLevel="0" collapsed="false"/>
    <row r="1047688" customFormat="false" ht="12.8" hidden="false" customHeight="true" outlineLevel="0" collapsed="false"/>
    <row r="1047689" customFormat="false" ht="12.8" hidden="false" customHeight="true" outlineLevel="0" collapsed="false"/>
    <row r="1047690" customFormat="false" ht="12.8" hidden="false" customHeight="true" outlineLevel="0" collapsed="false"/>
    <row r="1047691" customFormat="false" ht="12.8" hidden="false" customHeight="true" outlineLevel="0" collapsed="false"/>
    <row r="1047692" customFormat="false" ht="12.8" hidden="false" customHeight="true" outlineLevel="0" collapsed="false"/>
    <row r="1047693" customFormat="false" ht="12.8" hidden="false" customHeight="true" outlineLevel="0" collapsed="false"/>
    <row r="1047694" customFormat="false" ht="12.8" hidden="false" customHeight="true" outlineLevel="0" collapsed="false"/>
    <row r="1047695" customFormat="false" ht="12.8" hidden="false" customHeight="true" outlineLevel="0" collapsed="false"/>
    <row r="1047696" customFormat="false" ht="12.8" hidden="false" customHeight="true" outlineLevel="0" collapsed="false"/>
    <row r="1047697" customFormat="false" ht="12.8" hidden="false" customHeight="true" outlineLevel="0" collapsed="false"/>
    <row r="1047698" customFormat="false" ht="12.8" hidden="false" customHeight="true" outlineLevel="0" collapsed="false"/>
    <row r="1047699" customFormat="false" ht="12.8" hidden="false" customHeight="true" outlineLevel="0" collapsed="false"/>
    <row r="1047700" customFormat="false" ht="12.8" hidden="false" customHeight="true" outlineLevel="0" collapsed="false"/>
    <row r="1047701" customFormat="false" ht="12.8" hidden="false" customHeight="true" outlineLevel="0" collapsed="false"/>
    <row r="1047702" customFormat="false" ht="12.8" hidden="false" customHeight="true" outlineLevel="0" collapsed="false"/>
    <row r="1047703" customFormat="false" ht="12.8" hidden="false" customHeight="true" outlineLevel="0" collapsed="false"/>
    <row r="1047704" customFormat="false" ht="12.8" hidden="false" customHeight="true" outlineLevel="0" collapsed="false"/>
    <row r="1047705" customFormat="false" ht="12.8" hidden="false" customHeight="true" outlineLevel="0" collapsed="false"/>
    <row r="1047706" customFormat="false" ht="12.8" hidden="false" customHeight="true" outlineLevel="0" collapsed="false"/>
    <row r="1047707" customFormat="false" ht="12.8" hidden="false" customHeight="true" outlineLevel="0" collapsed="false"/>
    <row r="1047708" customFormat="false" ht="12.8" hidden="false" customHeight="true" outlineLevel="0" collapsed="false"/>
    <row r="1047709" customFormat="false" ht="12.8" hidden="false" customHeight="true" outlineLevel="0" collapsed="false"/>
    <row r="1047710" customFormat="false" ht="12.8" hidden="false" customHeight="true" outlineLevel="0" collapsed="false"/>
    <row r="1047711" customFormat="false" ht="12.8" hidden="false" customHeight="true" outlineLevel="0" collapsed="false"/>
    <row r="1047712" customFormat="false" ht="12.8" hidden="false" customHeight="true" outlineLevel="0" collapsed="false"/>
    <row r="1047713" customFormat="false" ht="12.8" hidden="false" customHeight="true" outlineLevel="0" collapsed="false"/>
    <row r="1047714" customFormat="false" ht="12.8" hidden="false" customHeight="true" outlineLevel="0" collapsed="false"/>
    <row r="1047715" customFormat="false" ht="12.8" hidden="false" customHeight="true" outlineLevel="0" collapsed="false"/>
    <row r="1047716" customFormat="false" ht="12.8" hidden="false" customHeight="true" outlineLevel="0" collapsed="false"/>
    <row r="1047717" customFormat="false" ht="12.8" hidden="false" customHeight="true" outlineLevel="0" collapsed="false"/>
    <row r="1047718" customFormat="false" ht="12.8" hidden="false" customHeight="true" outlineLevel="0" collapsed="false"/>
    <row r="1047719" customFormat="false" ht="12.8" hidden="false" customHeight="true" outlineLevel="0" collapsed="false"/>
    <row r="1047720" customFormat="false" ht="12.8" hidden="false" customHeight="true" outlineLevel="0" collapsed="false"/>
    <row r="1047721" customFormat="false" ht="12.8" hidden="false" customHeight="true" outlineLevel="0" collapsed="false"/>
    <row r="1047722" customFormat="false" ht="12.8" hidden="false" customHeight="true" outlineLevel="0" collapsed="false"/>
    <row r="1047723" customFormat="false" ht="12.8" hidden="false" customHeight="true" outlineLevel="0" collapsed="false"/>
    <row r="1047724" customFormat="false" ht="12.8" hidden="false" customHeight="true" outlineLevel="0" collapsed="false"/>
    <row r="1047725" customFormat="false" ht="12.8" hidden="false" customHeight="true" outlineLevel="0" collapsed="false"/>
    <row r="1047726" customFormat="false" ht="12.8" hidden="false" customHeight="true" outlineLevel="0" collapsed="false"/>
    <row r="1047727" customFormat="false" ht="12.8" hidden="false" customHeight="true" outlineLevel="0" collapsed="false"/>
    <row r="1047728" customFormat="false" ht="12.8" hidden="false" customHeight="true" outlineLevel="0" collapsed="false"/>
    <row r="1047729" customFormat="false" ht="12.8" hidden="false" customHeight="true" outlineLevel="0" collapsed="false"/>
    <row r="1047730" customFormat="false" ht="12.8" hidden="false" customHeight="true" outlineLevel="0" collapsed="false"/>
    <row r="1047731" customFormat="false" ht="12.8" hidden="false" customHeight="true" outlineLevel="0" collapsed="false"/>
    <row r="1047732" customFormat="false" ht="12.8" hidden="false" customHeight="true" outlineLevel="0" collapsed="false"/>
    <row r="1047733" customFormat="false" ht="12.8" hidden="false" customHeight="true" outlineLevel="0" collapsed="false"/>
    <row r="1047734" customFormat="false" ht="12.8" hidden="false" customHeight="true" outlineLevel="0" collapsed="false"/>
    <row r="1047735" customFormat="false" ht="12.8" hidden="false" customHeight="true" outlineLevel="0" collapsed="false"/>
    <row r="1047736" customFormat="false" ht="12.8" hidden="false" customHeight="true" outlineLevel="0" collapsed="false"/>
    <row r="1047737" customFormat="false" ht="12.8" hidden="false" customHeight="true" outlineLevel="0" collapsed="false"/>
    <row r="1047738" customFormat="false" ht="12.8" hidden="false" customHeight="true" outlineLevel="0" collapsed="false"/>
    <row r="1047739" customFormat="false" ht="12.8" hidden="false" customHeight="true" outlineLevel="0" collapsed="false"/>
    <row r="1047740" customFormat="false" ht="12.8" hidden="false" customHeight="true" outlineLevel="0" collapsed="false"/>
    <row r="1047741" customFormat="false" ht="12.8" hidden="false" customHeight="true" outlineLevel="0" collapsed="false"/>
    <row r="1047742" customFormat="false" ht="12.8" hidden="false" customHeight="true" outlineLevel="0" collapsed="false"/>
    <row r="1047743" customFormat="false" ht="12.8" hidden="false" customHeight="true" outlineLevel="0" collapsed="false"/>
    <row r="1047744" customFormat="false" ht="12.8" hidden="false" customHeight="true" outlineLevel="0" collapsed="false"/>
    <row r="1047745" customFormat="false" ht="12.8" hidden="false" customHeight="true" outlineLevel="0" collapsed="false"/>
    <row r="1047746" customFormat="false" ht="12.8" hidden="false" customHeight="true" outlineLevel="0" collapsed="false"/>
    <row r="1047747" customFormat="false" ht="12.8" hidden="false" customHeight="true" outlineLevel="0" collapsed="false"/>
    <row r="1047748" customFormat="false" ht="12.8" hidden="false" customHeight="true" outlineLevel="0" collapsed="false"/>
    <row r="1047749" customFormat="false" ht="12.8" hidden="false" customHeight="true" outlineLevel="0" collapsed="false"/>
    <row r="1047750" customFormat="false" ht="12.8" hidden="false" customHeight="true" outlineLevel="0" collapsed="false"/>
    <row r="1047751" customFormat="false" ht="12.8" hidden="false" customHeight="true" outlineLevel="0" collapsed="false"/>
    <row r="1047752" customFormat="false" ht="12.8" hidden="false" customHeight="true" outlineLevel="0" collapsed="false"/>
    <row r="1047753" customFormat="false" ht="12.8" hidden="false" customHeight="true" outlineLevel="0" collapsed="false"/>
    <row r="1047754" customFormat="false" ht="12.8" hidden="false" customHeight="true" outlineLevel="0" collapsed="false"/>
    <row r="1047755" customFormat="false" ht="12.8" hidden="false" customHeight="true" outlineLevel="0" collapsed="false"/>
    <row r="1047756" customFormat="false" ht="12.8" hidden="false" customHeight="true" outlineLevel="0" collapsed="false"/>
    <row r="1047757" customFormat="false" ht="12.8" hidden="false" customHeight="true" outlineLevel="0" collapsed="false"/>
    <row r="1047758" customFormat="false" ht="12.8" hidden="false" customHeight="true" outlineLevel="0" collapsed="false"/>
    <row r="1047759" customFormat="false" ht="12.8" hidden="false" customHeight="true" outlineLevel="0" collapsed="false"/>
    <row r="1047760" customFormat="false" ht="12.8" hidden="false" customHeight="true" outlineLevel="0" collapsed="false"/>
    <row r="1047761" customFormat="false" ht="12.8" hidden="false" customHeight="true" outlineLevel="0" collapsed="false"/>
    <row r="1047762" customFormat="false" ht="12.8" hidden="false" customHeight="true" outlineLevel="0" collapsed="false"/>
    <row r="1047763" customFormat="false" ht="12.8" hidden="false" customHeight="true" outlineLevel="0" collapsed="false"/>
    <row r="1047764" customFormat="false" ht="12.8" hidden="false" customHeight="true" outlineLevel="0" collapsed="false"/>
    <row r="1047765" customFormat="false" ht="12.8" hidden="false" customHeight="true" outlineLevel="0" collapsed="false"/>
    <row r="1047766" customFormat="false" ht="12.8" hidden="false" customHeight="true" outlineLevel="0" collapsed="false"/>
    <row r="1047767" customFormat="false" ht="12.8" hidden="false" customHeight="true" outlineLevel="0" collapsed="false"/>
    <row r="1047768" customFormat="false" ht="12.8" hidden="false" customHeight="true" outlineLevel="0" collapsed="false"/>
    <row r="1047769" customFormat="false" ht="12.8" hidden="false" customHeight="true" outlineLevel="0" collapsed="false"/>
    <row r="1047770" customFormat="false" ht="12.8" hidden="false" customHeight="true" outlineLevel="0" collapsed="false"/>
    <row r="1047771" customFormat="false" ht="12.8" hidden="false" customHeight="true" outlineLevel="0" collapsed="false"/>
    <row r="1047772" customFormat="false" ht="12.8" hidden="false" customHeight="true" outlineLevel="0" collapsed="false"/>
    <row r="1047773" customFormat="false" ht="12.8" hidden="false" customHeight="true" outlineLevel="0" collapsed="false"/>
    <row r="1047774" customFormat="false" ht="12.8" hidden="false" customHeight="true" outlineLevel="0" collapsed="false"/>
    <row r="1047775" customFormat="false" ht="12.8" hidden="false" customHeight="true" outlineLevel="0" collapsed="false"/>
    <row r="1047776" customFormat="false" ht="12.8" hidden="false" customHeight="true" outlineLevel="0" collapsed="false"/>
    <row r="1047777" customFormat="false" ht="12.8" hidden="false" customHeight="true" outlineLevel="0" collapsed="false"/>
    <row r="1047778" customFormat="false" ht="12.8" hidden="false" customHeight="true" outlineLevel="0" collapsed="false"/>
    <row r="1047779" customFormat="false" ht="12.8" hidden="false" customHeight="true" outlineLevel="0" collapsed="false"/>
    <row r="1047780" customFormat="false" ht="12.8" hidden="false" customHeight="true" outlineLevel="0" collapsed="false"/>
    <row r="1047781" customFormat="false" ht="12.8" hidden="false" customHeight="true" outlineLevel="0" collapsed="false"/>
    <row r="1047782" customFormat="false" ht="12.8" hidden="false" customHeight="true" outlineLevel="0" collapsed="false"/>
    <row r="1047783" customFormat="false" ht="12.8" hidden="false" customHeight="true" outlineLevel="0" collapsed="false"/>
    <row r="1047784" customFormat="false" ht="12.8" hidden="false" customHeight="true" outlineLevel="0" collapsed="false"/>
    <row r="1047785" customFormat="false" ht="12.8" hidden="false" customHeight="true" outlineLevel="0" collapsed="false"/>
    <row r="1047786" customFormat="false" ht="12.8" hidden="false" customHeight="true" outlineLevel="0" collapsed="false"/>
    <row r="1047787" customFormat="false" ht="12.8" hidden="false" customHeight="true" outlineLevel="0" collapsed="false"/>
    <row r="1047788" customFormat="false" ht="12.8" hidden="false" customHeight="true" outlineLevel="0" collapsed="false"/>
    <row r="1047789" customFormat="false" ht="12.8" hidden="false" customHeight="true" outlineLevel="0" collapsed="false"/>
    <row r="1047790" customFormat="false" ht="12.8" hidden="false" customHeight="true" outlineLevel="0" collapsed="false"/>
    <row r="1047791" customFormat="false" ht="12.8" hidden="false" customHeight="true" outlineLevel="0" collapsed="false"/>
    <row r="1047792" customFormat="false" ht="12.8" hidden="false" customHeight="true" outlineLevel="0" collapsed="false"/>
    <row r="1047793" customFormat="false" ht="12.8" hidden="false" customHeight="true" outlineLevel="0" collapsed="false"/>
    <row r="1047794" customFormat="false" ht="12.8" hidden="false" customHeight="true" outlineLevel="0" collapsed="false"/>
    <row r="1047795" customFormat="false" ht="12.8" hidden="false" customHeight="true" outlineLevel="0" collapsed="false"/>
    <row r="1047796" customFormat="false" ht="12.8" hidden="false" customHeight="true" outlineLevel="0" collapsed="false"/>
    <row r="1047797" customFormat="false" ht="12.8" hidden="false" customHeight="true" outlineLevel="0" collapsed="false"/>
    <row r="1047798" customFormat="false" ht="12.8" hidden="false" customHeight="true" outlineLevel="0" collapsed="false"/>
    <row r="1047799" customFormat="false" ht="12.8" hidden="false" customHeight="true" outlineLevel="0" collapsed="false"/>
    <row r="1047800" customFormat="false" ht="12.8" hidden="false" customHeight="true" outlineLevel="0" collapsed="false"/>
    <row r="1047801" customFormat="false" ht="12.8" hidden="false" customHeight="true" outlineLevel="0" collapsed="false"/>
    <row r="1047802" customFormat="false" ht="12.8" hidden="false" customHeight="true" outlineLevel="0" collapsed="false"/>
    <row r="1047803" customFormat="false" ht="12.8" hidden="false" customHeight="true" outlineLevel="0" collapsed="false"/>
    <row r="1047804" customFormat="false" ht="12.8" hidden="false" customHeight="true" outlineLevel="0" collapsed="false"/>
    <row r="1047805" customFormat="false" ht="12.8" hidden="false" customHeight="true" outlineLevel="0" collapsed="false"/>
    <row r="1047806" customFormat="false" ht="12.8" hidden="false" customHeight="true" outlineLevel="0" collapsed="false"/>
    <row r="1047807" customFormat="false" ht="12.8" hidden="false" customHeight="true" outlineLevel="0" collapsed="false"/>
    <row r="1047808" customFormat="false" ht="12.8" hidden="false" customHeight="true" outlineLevel="0" collapsed="false"/>
    <row r="1047809" customFormat="false" ht="12.8" hidden="false" customHeight="true" outlineLevel="0" collapsed="false"/>
    <row r="1047810" customFormat="false" ht="12.8" hidden="false" customHeight="true" outlineLevel="0" collapsed="false"/>
    <row r="1047811" customFormat="false" ht="12.8" hidden="false" customHeight="true" outlineLevel="0" collapsed="false"/>
    <row r="1047812" customFormat="false" ht="12.8" hidden="false" customHeight="true" outlineLevel="0" collapsed="false"/>
    <row r="1047813" customFormat="false" ht="12.8" hidden="false" customHeight="true" outlineLevel="0" collapsed="false"/>
    <row r="1047814" customFormat="false" ht="12.8" hidden="false" customHeight="true" outlineLevel="0" collapsed="false"/>
    <row r="1047815" customFormat="false" ht="12.8" hidden="false" customHeight="true" outlineLevel="0" collapsed="false"/>
    <row r="1047816" customFormat="false" ht="12.8" hidden="false" customHeight="true" outlineLevel="0" collapsed="false"/>
    <row r="1047817" customFormat="false" ht="12.8" hidden="false" customHeight="true" outlineLevel="0" collapsed="false"/>
    <row r="1047818" customFormat="false" ht="12.8" hidden="false" customHeight="true" outlineLevel="0" collapsed="false"/>
    <row r="1047819" customFormat="false" ht="12.8" hidden="false" customHeight="true" outlineLevel="0" collapsed="false"/>
    <row r="1047820" customFormat="false" ht="12.8" hidden="false" customHeight="true" outlineLevel="0" collapsed="false"/>
    <row r="1047821" customFormat="false" ht="12.8" hidden="false" customHeight="true" outlineLevel="0" collapsed="false"/>
    <row r="1047822" customFormat="false" ht="12.8" hidden="false" customHeight="true" outlineLevel="0" collapsed="false"/>
    <row r="1047823" customFormat="false" ht="12.8" hidden="false" customHeight="true" outlineLevel="0" collapsed="false"/>
    <row r="1047824" customFormat="false" ht="12.8" hidden="false" customHeight="true" outlineLevel="0" collapsed="false"/>
    <row r="1047825" customFormat="false" ht="12.8" hidden="false" customHeight="true" outlineLevel="0" collapsed="false"/>
    <row r="1047826" customFormat="false" ht="12.8" hidden="false" customHeight="true" outlineLevel="0" collapsed="false"/>
    <row r="1047827" customFormat="false" ht="12.8" hidden="false" customHeight="true" outlineLevel="0" collapsed="false"/>
    <row r="1047828" customFormat="false" ht="12.8" hidden="false" customHeight="true" outlineLevel="0" collapsed="false"/>
    <row r="1047829" customFormat="false" ht="12.8" hidden="false" customHeight="true" outlineLevel="0" collapsed="false"/>
    <row r="1047830" customFormat="false" ht="12.8" hidden="false" customHeight="true" outlineLevel="0" collapsed="false"/>
    <row r="1047831" customFormat="false" ht="12.8" hidden="false" customHeight="true" outlineLevel="0" collapsed="false"/>
    <row r="1047832" customFormat="false" ht="12.8" hidden="false" customHeight="true" outlineLevel="0" collapsed="false"/>
    <row r="1047833" customFormat="false" ht="12.8" hidden="false" customHeight="true" outlineLevel="0" collapsed="false"/>
    <row r="1047834" customFormat="false" ht="12.8" hidden="false" customHeight="true" outlineLevel="0" collapsed="false"/>
    <row r="1047835" customFormat="false" ht="12.8" hidden="false" customHeight="true" outlineLevel="0" collapsed="false"/>
    <row r="1047836" customFormat="false" ht="12.8" hidden="false" customHeight="true" outlineLevel="0" collapsed="false"/>
    <row r="1047837" customFormat="false" ht="12.8" hidden="false" customHeight="true" outlineLevel="0" collapsed="false"/>
    <row r="1047838" customFormat="false" ht="12.8" hidden="false" customHeight="true" outlineLevel="0" collapsed="false"/>
    <row r="1047839" customFormat="false" ht="12.8" hidden="false" customHeight="true" outlineLevel="0" collapsed="false"/>
    <row r="1047840" customFormat="false" ht="12.8" hidden="false" customHeight="true" outlineLevel="0" collapsed="false"/>
    <row r="1047841" customFormat="false" ht="12.8" hidden="false" customHeight="true" outlineLevel="0" collapsed="false"/>
    <row r="1047842" customFormat="false" ht="12.8" hidden="false" customHeight="true" outlineLevel="0" collapsed="false"/>
    <row r="1047843" customFormat="false" ht="12.8" hidden="false" customHeight="true" outlineLevel="0" collapsed="false"/>
    <row r="1047844" customFormat="false" ht="12.8" hidden="false" customHeight="true" outlineLevel="0" collapsed="false"/>
    <row r="1047845" customFormat="false" ht="12.8" hidden="false" customHeight="true" outlineLevel="0" collapsed="false"/>
    <row r="1047846" customFormat="false" ht="12.8" hidden="false" customHeight="true" outlineLevel="0" collapsed="false"/>
    <row r="1047847" customFormat="false" ht="12.8" hidden="false" customHeight="true" outlineLevel="0" collapsed="false"/>
    <row r="1047848" customFormat="false" ht="12.8" hidden="false" customHeight="true" outlineLevel="0" collapsed="false"/>
    <row r="1047849" customFormat="false" ht="12.8" hidden="false" customHeight="true" outlineLevel="0" collapsed="false"/>
    <row r="1047850" customFormat="false" ht="12.8" hidden="false" customHeight="true" outlineLevel="0" collapsed="false"/>
    <row r="1047851" customFormat="false" ht="12.8" hidden="false" customHeight="true" outlineLevel="0" collapsed="false"/>
    <row r="1047852" customFormat="false" ht="12.8" hidden="false" customHeight="true" outlineLevel="0" collapsed="false"/>
    <row r="1047853" customFormat="false" ht="12.8" hidden="false" customHeight="true" outlineLevel="0" collapsed="false"/>
    <row r="1047854" customFormat="false" ht="12.8" hidden="false" customHeight="true" outlineLevel="0" collapsed="false"/>
    <row r="1047855" customFormat="false" ht="12.8" hidden="false" customHeight="true" outlineLevel="0" collapsed="false"/>
    <row r="1047856" customFormat="false" ht="12.8" hidden="false" customHeight="true" outlineLevel="0" collapsed="false"/>
    <row r="1047857" customFormat="false" ht="12.8" hidden="false" customHeight="true" outlineLevel="0" collapsed="false"/>
    <row r="1047858" customFormat="false" ht="12.8" hidden="false" customHeight="true" outlineLevel="0" collapsed="false"/>
    <row r="1047859" customFormat="false" ht="12.8" hidden="false" customHeight="true" outlineLevel="0" collapsed="false"/>
    <row r="1047860" customFormat="false" ht="12.8" hidden="false" customHeight="true" outlineLevel="0" collapsed="false"/>
    <row r="1047861" customFormat="false" ht="12.8" hidden="false" customHeight="true" outlineLevel="0" collapsed="false"/>
    <row r="1047862" customFormat="false" ht="12.8" hidden="false" customHeight="true" outlineLevel="0" collapsed="false"/>
    <row r="1047863" customFormat="false" ht="12.8" hidden="false" customHeight="true" outlineLevel="0" collapsed="false"/>
    <row r="1047864" customFormat="false" ht="12.8" hidden="false" customHeight="true" outlineLevel="0" collapsed="false"/>
    <row r="1047865" customFormat="false" ht="12.8" hidden="false" customHeight="true" outlineLevel="0" collapsed="false"/>
    <row r="1047866" customFormat="false" ht="12.8" hidden="false" customHeight="true" outlineLevel="0" collapsed="false"/>
    <row r="1047867" customFormat="false" ht="12.8" hidden="false" customHeight="true" outlineLevel="0" collapsed="false"/>
    <row r="1047868" customFormat="false" ht="12.8" hidden="false" customHeight="true" outlineLevel="0" collapsed="false"/>
    <row r="1047869" customFormat="false" ht="12.8" hidden="false" customHeight="true" outlineLevel="0" collapsed="false"/>
    <row r="1047870" customFormat="false" ht="12.8" hidden="false" customHeight="true" outlineLevel="0" collapsed="false"/>
    <row r="1047871" customFormat="false" ht="12.8" hidden="false" customHeight="true" outlineLevel="0" collapsed="false"/>
    <row r="1047872" customFormat="false" ht="12.8" hidden="false" customHeight="true" outlineLevel="0" collapsed="false"/>
    <row r="1047873" customFormat="false" ht="12.8" hidden="false" customHeight="true" outlineLevel="0" collapsed="false"/>
    <row r="1047874" customFormat="false" ht="12.8" hidden="false" customHeight="true" outlineLevel="0" collapsed="false"/>
    <row r="1047875" customFormat="false" ht="12.8" hidden="false" customHeight="true" outlineLevel="0" collapsed="false"/>
    <row r="1047876" customFormat="false" ht="12.8" hidden="false" customHeight="true" outlineLevel="0" collapsed="false"/>
    <row r="1047877" customFormat="false" ht="12.8" hidden="false" customHeight="true" outlineLevel="0" collapsed="false"/>
    <row r="1047878" customFormat="false" ht="12.8" hidden="false" customHeight="true" outlineLevel="0" collapsed="false"/>
    <row r="1047879" customFormat="false" ht="12.8" hidden="false" customHeight="true" outlineLevel="0" collapsed="false"/>
    <row r="1047880" customFormat="false" ht="12.8" hidden="false" customHeight="true" outlineLevel="0" collapsed="false"/>
    <row r="1047881" customFormat="false" ht="12.8" hidden="false" customHeight="true" outlineLevel="0" collapsed="false"/>
    <row r="1047882" customFormat="false" ht="12.8" hidden="false" customHeight="true" outlineLevel="0" collapsed="false"/>
    <row r="1047883" customFormat="false" ht="12.8" hidden="false" customHeight="true" outlineLevel="0" collapsed="false"/>
    <row r="1047884" customFormat="false" ht="12.8" hidden="false" customHeight="true" outlineLevel="0" collapsed="false"/>
    <row r="1047885" customFormat="false" ht="12.8" hidden="false" customHeight="true" outlineLevel="0" collapsed="false"/>
    <row r="1047886" customFormat="false" ht="12.8" hidden="false" customHeight="true" outlineLevel="0" collapsed="false"/>
    <row r="1047887" customFormat="false" ht="12.8" hidden="false" customHeight="true" outlineLevel="0" collapsed="false"/>
    <row r="1047888" customFormat="false" ht="12.8" hidden="false" customHeight="true" outlineLevel="0" collapsed="false"/>
    <row r="1047889" customFormat="false" ht="12.8" hidden="false" customHeight="true" outlineLevel="0" collapsed="false"/>
    <row r="1047890" customFormat="false" ht="12.8" hidden="false" customHeight="true" outlineLevel="0" collapsed="false"/>
    <row r="1047891" customFormat="false" ht="12.8" hidden="false" customHeight="true" outlineLevel="0" collapsed="false"/>
    <row r="1047892" customFormat="false" ht="12.8" hidden="false" customHeight="true" outlineLevel="0" collapsed="false"/>
    <row r="1047893" customFormat="false" ht="12.8" hidden="false" customHeight="true" outlineLevel="0" collapsed="false"/>
    <row r="1047894" customFormat="false" ht="12.8" hidden="false" customHeight="true" outlineLevel="0" collapsed="false"/>
    <row r="1047895" customFormat="false" ht="12.8" hidden="false" customHeight="true" outlineLevel="0" collapsed="false"/>
    <row r="1047896" customFormat="false" ht="12.8" hidden="false" customHeight="true" outlineLevel="0" collapsed="false"/>
    <row r="1047897" customFormat="false" ht="12.8" hidden="false" customHeight="true" outlineLevel="0" collapsed="false"/>
    <row r="1047898" customFormat="false" ht="12.8" hidden="false" customHeight="true" outlineLevel="0" collapsed="false"/>
    <row r="1047899" customFormat="false" ht="12.8" hidden="false" customHeight="true" outlineLevel="0" collapsed="false"/>
    <row r="1047900" customFormat="false" ht="12.8" hidden="false" customHeight="true" outlineLevel="0" collapsed="false"/>
    <row r="1047901" customFormat="false" ht="12.8" hidden="false" customHeight="true" outlineLevel="0" collapsed="false"/>
    <row r="1047902" customFormat="false" ht="12.8" hidden="false" customHeight="true" outlineLevel="0" collapsed="false"/>
    <row r="1047903" customFormat="false" ht="12.8" hidden="false" customHeight="true" outlineLevel="0" collapsed="false"/>
    <row r="1047904" customFormat="false" ht="12.8" hidden="false" customHeight="true" outlineLevel="0" collapsed="false"/>
    <row r="1047905" customFormat="false" ht="12.8" hidden="false" customHeight="true" outlineLevel="0" collapsed="false"/>
    <row r="1047906" customFormat="false" ht="12.8" hidden="false" customHeight="true" outlineLevel="0" collapsed="false"/>
    <row r="1047907" customFormat="false" ht="12.8" hidden="false" customHeight="true" outlineLevel="0" collapsed="false"/>
    <row r="1047908" customFormat="false" ht="12.8" hidden="false" customHeight="true" outlineLevel="0" collapsed="false"/>
    <row r="1047909" customFormat="false" ht="12.8" hidden="false" customHeight="true" outlineLevel="0" collapsed="false"/>
    <row r="1047910" customFormat="false" ht="12.8" hidden="false" customHeight="true" outlineLevel="0" collapsed="false"/>
    <row r="1047911" customFormat="false" ht="12.8" hidden="false" customHeight="true" outlineLevel="0" collapsed="false"/>
    <row r="1047912" customFormat="false" ht="12.8" hidden="false" customHeight="true" outlineLevel="0" collapsed="false"/>
    <row r="1047913" customFormat="false" ht="12.8" hidden="false" customHeight="true" outlineLevel="0" collapsed="false"/>
    <row r="1047914" customFormat="false" ht="12.8" hidden="false" customHeight="true" outlineLevel="0" collapsed="false"/>
    <row r="1047915" customFormat="false" ht="12.8" hidden="false" customHeight="true" outlineLevel="0" collapsed="false"/>
    <row r="1047916" customFormat="false" ht="12.8" hidden="false" customHeight="true" outlineLevel="0" collapsed="false"/>
    <row r="1047917" customFormat="false" ht="12.8" hidden="false" customHeight="true" outlineLevel="0" collapsed="false"/>
    <row r="1047918" customFormat="false" ht="12.8" hidden="false" customHeight="true" outlineLevel="0" collapsed="false"/>
    <row r="1047919" customFormat="false" ht="12.8" hidden="false" customHeight="true" outlineLevel="0" collapsed="false"/>
    <row r="1047920" customFormat="false" ht="12.8" hidden="false" customHeight="true" outlineLevel="0" collapsed="false"/>
    <row r="1047921" customFormat="false" ht="12.8" hidden="false" customHeight="true" outlineLevel="0" collapsed="false"/>
    <row r="1047922" customFormat="false" ht="12.8" hidden="false" customHeight="true" outlineLevel="0" collapsed="false"/>
    <row r="1047923" customFormat="false" ht="12.8" hidden="false" customHeight="true" outlineLevel="0" collapsed="false"/>
    <row r="1047924" customFormat="false" ht="12.8" hidden="false" customHeight="true" outlineLevel="0" collapsed="false"/>
    <row r="1047925" customFormat="false" ht="12.8" hidden="false" customHeight="true" outlineLevel="0" collapsed="false"/>
    <row r="1047926" customFormat="false" ht="12.8" hidden="false" customHeight="true" outlineLevel="0" collapsed="false"/>
    <row r="1047927" customFormat="false" ht="12.8" hidden="false" customHeight="true" outlineLevel="0" collapsed="false"/>
    <row r="1047928" customFormat="false" ht="12.8" hidden="false" customHeight="true" outlineLevel="0" collapsed="false"/>
    <row r="1047929" customFormat="false" ht="12.8" hidden="false" customHeight="true" outlineLevel="0" collapsed="false"/>
    <row r="1047930" customFormat="false" ht="12.8" hidden="false" customHeight="true" outlineLevel="0" collapsed="false"/>
    <row r="1047931" customFormat="false" ht="12.8" hidden="false" customHeight="true" outlineLevel="0" collapsed="false"/>
    <row r="1047932" customFormat="false" ht="12.8" hidden="false" customHeight="true" outlineLevel="0" collapsed="false"/>
    <row r="1047933" customFormat="false" ht="12.8" hidden="false" customHeight="true" outlineLevel="0" collapsed="false"/>
    <row r="1047934" customFormat="false" ht="12.8" hidden="false" customHeight="true" outlineLevel="0" collapsed="false"/>
    <row r="1047935" customFormat="false" ht="12.8" hidden="false" customHeight="true" outlineLevel="0" collapsed="false"/>
    <row r="1047936" customFormat="false" ht="12.8" hidden="false" customHeight="true" outlineLevel="0" collapsed="false"/>
    <row r="1047937" customFormat="false" ht="12.8" hidden="false" customHeight="true" outlineLevel="0" collapsed="false"/>
    <row r="1047938" customFormat="false" ht="12.8" hidden="false" customHeight="true" outlineLevel="0" collapsed="false"/>
    <row r="1047939" customFormat="false" ht="12.8" hidden="false" customHeight="true" outlineLevel="0" collapsed="false"/>
    <row r="1047940" customFormat="false" ht="12.8" hidden="false" customHeight="true" outlineLevel="0" collapsed="false"/>
    <row r="1047941" customFormat="false" ht="12.8" hidden="false" customHeight="true" outlineLevel="0" collapsed="false"/>
    <row r="1047942" customFormat="false" ht="12.8" hidden="false" customHeight="true" outlineLevel="0" collapsed="false"/>
    <row r="1047943" customFormat="false" ht="12.8" hidden="false" customHeight="true" outlineLevel="0" collapsed="false"/>
    <row r="1047944" customFormat="false" ht="12.8" hidden="false" customHeight="true" outlineLevel="0" collapsed="false"/>
    <row r="1047945" customFormat="false" ht="12.8" hidden="false" customHeight="true" outlineLevel="0" collapsed="false"/>
    <row r="1047946" customFormat="false" ht="12.8" hidden="false" customHeight="true" outlineLevel="0" collapsed="false"/>
    <row r="1047947" customFormat="false" ht="12.8" hidden="false" customHeight="true" outlineLevel="0" collapsed="false"/>
    <row r="1047948" customFormat="false" ht="12.8" hidden="false" customHeight="true" outlineLevel="0" collapsed="false"/>
    <row r="1047949" customFormat="false" ht="12.8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conditionalFormatting sqref="F1">
    <cfRule type="expression" priority="2" aboveAverage="0" equalAverage="0" bottom="0" percent="0" rank="0" text="" dxfId="0">
      <formula>#ref!="ส่งงานแล้ว"</formula>
    </cfRule>
  </conditionalFormatting>
  <hyperlinks>
    <hyperlink ref="S2" r:id="rId2" display="https://www.facebook.com/share/p/1E8utPuGLY/?mibextid=wwXIfr"/>
    <hyperlink ref="S3" r:id="rId3" display="https://www.facebook.com/photo/?fbid=1758722329710092&amp;set=a.579268780988792"/>
    <hyperlink ref="S4" r:id="rId4" display="https://www.facebook.com/APthaitownhome/posts/pfbid02G8GX6FJbjPz8mw8ezVknaWcf7uqbCAMxAGyTrHg1xWRyJP8vpDs48973F2dy3xWl"/>
    <hyperlink ref="S5" r:id="rId5" display="https://www.facebook.com/APthaitownhome/posts/pfbid02q7P83gYjmocq1tpYnwcEWC53zYu8wiADPmYDBp9YRwBdtXfafnbExxQ2A5CP7ePPl"/>
    <hyperlink ref="S6" r:id="rId6" display="https://www.facebook.com/photo/?fbid=1758896209692704&amp;set=a.579268780988792"/>
    <hyperlink ref="S7" r:id="rId7" display="https://www.facebook.com/APthaitownhome/posts/pfbid0HME6w4wPdBQutvffnWihkCgMXKhUgDV9UuUv7FbazQQNJ5PBcwbYCgXabj7SM6MWl"/>
    <hyperlink ref="S8" r:id="rId8" display="https://www.facebook.com/APthaitownhome/posts/pfbid02hmTmg3SbHvsovVp5R4FgCFnLgoJpKhw7eyBdVFtfrRe6waFsWPZ47z6KdAZNvMBil"/>
    <hyperlink ref="S9" r:id="rId9" display="https://www.facebook.com/share/p/1DD4skekah/?mibextid=wwXIfr"/>
    <hyperlink ref="S10" r:id="rId10" display="https://www.facebook.com/share/p/1DZCrLjGA5/?mibextid=wwXIfr"/>
    <hyperlink ref="S11" r:id="rId11" display="https://www.facebook.com/share/p/1HQ2ysL42J/?mibextid=wwXIfr"/>
    <hyperlink ref="S12" r:id="rId12" display="https://www.facebook.com/share/p/1LhrzK1sZe/?mibextid=wwXIfr"/>
    <hyperlink ref="S15" r:id="rId13" display="https://www.facebook.com/photo/?fbid=1743182144508082&amp;set=a.637946355031672"/>
    <hyperlink ref="S16" r:id="rId14" display="https://www.facebook.com/APthaitownhome/posts/pfbid0a8BSeLnqzEC2qjMEtEgKthbKfpfobS37x5Sxw54eQfaZHSfHb7DeuUr5F8ob1UEul"/>
    <hyperlink ref="S17" r:id="rId15" display="https://www.facebook.com/APthaitownhome/posts/pfbid0vzfb5wuusqJRQ6aYif9CXXD2kr9qADLdnRG2NKFYwmNAQfmQzcC8aC7yL4vYw2TLl"/>
    <hyperlink ref="S18" r:id="rId16" display="https://www.facebook.com/photo?fbid=1760887579493567&amp;set=a.579268780988792"/>
    <hyperlink ref="S19" r:id="rId17" display="https://www.facebook.com/photo?fbid=1760920469490278&amp;set=a.579268780988792"/>
    <hyperlink ref="S20" r:id="rId18" display="https://www.facebook.com/APthaitownhome/posts/pfbid028dUVzznES8kpyFKvsn1jDUYGWcLhSDKE8ok48VxeUY3wWqJN9ewUkyKnBetGJ1hVl"/>
    <hyperlink ref="S21" r:id="rId19" display="https://www.facebook.com/photo/?fbid=1761015926147399&amp;set=a.579268780988792"/>
    <hyperlink ref="S29" r:id="rId20" display="https://www.facebook.com/photo?fbid=1744047091088254&amp;set=a.637946355031672"/>
    <hyperlink ref="S30" r:id="rId21" display="https://www.facebook.com/APthai/posts/pfbid0FyBF5TGzVRdxQXLZJASqYKJF4QkGiroh8mPWrcU9KAnpqdP8Zabd3NQvvWTtiXmsl"/>
    <hyperlink ref="S31" r:id="rId22" display="https://www.facebook.com/APthaitownhome/posts/pfbid02xnCMx69CNtnYL2Y3jgdesx55tKyE6JoWW2tTti5ccNiSj21eBkjo5ssUAL1MdeLrl"/>
    <hyperlink ref="S32" r:id="rId23" display="https://www.facebook.com/photo?fbid=1761676689414656&amp;set=a.579268780988792"/>
    <hyperlink ref="S33" r:id="rId24" display="https://www.facebook.com/photo?fbid=1761748706074121&amp;set=a.579268780988792"/>
    <hyperlink ref="S34" r:id="rId25" display="https://www.facebook.com/photo/?fbid=1761859069396418&amp;set=a.579268780988792"/>
    <hyperlink ref="S35" r:id="rId26" display="https://www.facebook.com/APthaitownhome/posts/pfbid0QUomMWgJibvtwrZnfT3z5sSJ41DE7ij1wF49nH9Dhp3w9LKCGuVFF7NfGcky4wDdl"/>
    <hyperlink ref="S36" r:id="rId27" display="https://www.facebook.com/APthaitownhome/posts/pfbid025eNqh1AYoseNFDwqfKEKgEKhEitgqgs92ZiZfaN4LiEeLfzmKG5fdkmXKctsgbgtl"/>
    <hyperlink ref="S37" r:id="rId28" display="https://www.facebook.com/photo?fbid=1762147449367580&amp;set=a.579268780988792"/>
    <hyperlink ref="S38" r:id="rId29" display="https://www.facebook.com/APthaitownhome/posts/pfbid02pfHMJBj1FXfaCqn1XztnMjtU1DqZWMguouuZYjDqgGLaeFPU8fZ8pbGtwn4bHYQRl"/>
    <hyperlink ref="S45" r:id="rId30" display="https://www.facebook.com/photo?fbid=1763098099272515&amp;set=a.579268780988792"/>
    <hyperlink ref="S46" r:id="rId31" display="https://www.facebook.com/photo?fbid=1763209015928090&amp;set=a.579268780988792"/>
    <hyperlink ref="S47" r:id="rId32" display="https://www.facebook.com/photo?fbid=1763279369254388&amp;set=a.579268780988792"/>
    <hyperlink ref="S48" r:id="rId33" display="https://www.facebook.com/APthaitownhome/posts/pfbid02NQ2CF5bosR5oCbL3ELs8GCo9hZ33CZKyUTyG5FkyfD2jGKadZmZopQsXTc7HHz65l"/>
    <hyperlink ref="S49" r:id="rId34" display="https://www.facebook.com/APthaitownhome/posts/pfbid02NQ2CF5bosR5oCbL3ELs8GCo9hZ33CZKyUTyG5FkyfD2jGKadZmZopQsXTc7HHz65l"/>
    <hyperlink ref="S50" r:id="rId35" display="https://www.facebook.com/APthaitownhome/posts/pfbid08oJm6doccmbcuiLtKqZ6iPbsWvc8CZ8o2jnJGF7oowpAympEPJNEc7TxkV5JbCQFl"/>
    <hyperlink ref="S51" r:id="rId36" display="https://www.facebook.com/APthai/posts/pfbid0kiP2iKcrLZU2BtmJNVKg3d4HeyXUhG3Fe29nqeEUyE95FuoGP5tg5JkucuiC1f53l"/>
    <hyperlink ref="S52" r:id="rId37" display="https://www.facebook.com/APthai/posts/pfbid0kiP2iKcrLZU2BtmJNVKg3d4HeyXUhG3Fe29nqeEUyE95FuoGP5tg5JkucuiC1f53l"/>
    <hyperlink ref="S58" r:id="rId38" display="https://www.facebook.com/APthai/posts/pfbid034psXso9vjSh6CyAcgbPddxsTLDNx2ZnRP6d6sZdu1AoBnFSWCfWymCBTzmc5kFozl"/>
    <hyperlink ref="S59" r:id="rId39" display="https://www.facebook.com/APthaitownhome/posts/pfbid0hcjKSAih1bQxFuVBYBJt1BR93ebemnBPHkAjMZYswiwbdBCAWFb9Rr85DPdGUYyNl"/>
    <hyperlink ref="S60" r:id="rId40" display="https://www.facebook.com/APthaitownhome/posts/pfbid0bvojyufYQLsEKWRzzWFYimjTLx52X1qKxGu8RGbwosD59sFywYcCwQ1He1ZMuLdzl"/>
    <hyperlink ref="S61" r:id="rId41" display="https://www.facebook.com/APthaitownhome/posts/pfbid0314TBhhKmqExwqx8uNa7qviDuwki2VipN7AKXCoCmu5rqc1iwDgfDpueFuiKznwRil?locale=th_TH"/>
    <hyperlink ref="S62" r:id="rId42" display="https://www.facebook.com/APthaitownhome/posts/pfbid02FrdHFUvxPfi2PdQRn3YcXVyXH81bqXn5em1m34kxNmZVod7Q3cG6qhbJautqXXgol?locale=th_TH"/>
    <hyperlink ref="S63" r:id="rId43" display="https://www.facebook.com/APthaitownhome/posts/pfbid029gk9oLfW8ChFmPQfPCRP4r61rggPxc58Vm3DV3nJdMJ4tof75nSHjuFiKZVg7QiPl?locale=th_TH"/>
    <hyperlink ref="S64" r:id="rId44" display="https://www.facebook.com/APthaitownhome/posts/pfbid02HY3MH2Wpf8rNwEXKyk91waT5VajkN3wfgUiwixrc477CqMnNJJG1S6THG4EXa2Xjl?locale=th_TH"/>
    <hyperlink ref="S68" r:id="rId45" display="https://x.com/AP_Inspire/status/2096070815712432617"/>
    <hyperlink ref="S69" r:id="rId46" display="https://x.com/AP_Inspire/status/2096433213011087471"/>
    <hyperlink ref="S72" r:id="rId47" display="https://www.facebook.com/photo?fbid=1767687688813556&amp;set=a.579268780988792"/>
    <hyperlink ref="S73" r:id="rId48" display="https://www.facebook.com/APthaitownhome/posts/pfbid0JBW5vEZtCcTj3kCnW4ZxPSKExbpYEfSn71JrNFbYLHcccSh9xqQzmeNQezAr8nnel"/>
    <hyperlink ref="S74" r:id="rId49" display="https://www.facebook.com/APthaitownhome/posts/pfbid02cm5SajdxzRmbJEs3bwLRv5yFRHPWrtgDYwEwUVJybpWnnBevTWhm6muXhxqMvhwTl"/>
    <hyperlink ref="S75" r:id="rId50" display="https://www.facebook.com/reel/1405784174989879"/>
    <hyperlink ref="S76" r:id="rId51" display="https://www.facebook.com/photo?fbid=1768170062098652&amp;set=a.579268780988792"/>
    <hyperlink ref="S77" r:id="rId52" display="https://www.facebook.com/APthaitownhome/posts/pfbid029zyxjBhsAKUPQ6egwBNnqDDk7zxTczrqH6KPTpYjfQaHAZTjESECYhKB3BmYisgJl"/>
    <hyperlink ref="S78" r:id="rId53" display="https://www.facebook.com/APthaitownhome/posts/pfbid0L6Ex5jsMZmVnAgkZ2DaWwHqApEt78sER3aZwmuK4u7z8PGxt6NfcwngWpw5rj5Cpl"/>
    <hyperlink ref="S79" r:id="rId54" display="https://www.facebook.com/photo/?fbid=1749081953918101&amp;set=a.637946355031672"/>
    <hyperlink ref="S82" r:id="rId55" display="https://www.facebook.com/APthaitownhome/posts/pfbid02eZGELr1rpHK8DaJNBfc2F6a3YcPZdj2YLFS63BejsiFas1x2RCj7MeMnMbDqjxm2l"/>
    <hyperlink ref="S83" r:id="rId56" display="https://www.facebook.com/photo/?fbid=1769266488655676&amp;set=a.579268780988792"/>
    <hyperlink ref="S84" r:id="rId57" display="https://www.facebook.com/APthaitownhome/posts/pfbid0yCnqjaYcndaEq5UJPDwkM9oXkczSpYKM9AyVxAnZiZB8LAXbBau4MLdyi9WjqrVl"/>
    <hyperlink ref="S85" r:id="rId58" display="https://www.facebook.com/APthaitownhome/posts/pfbid0ib5qGT5hZqw4zPZHGazNAzU7ciBRxCTPiB7xz8fWMmZqgSEWNrbNtQTdD325Cjx4l"/>
    <hyperlink ref="S86" r:id="rId59" display="https://www.facebook.com/photo?fbid=1769114865337505&amp;set=a.579268780988792"/>
    <hyperlink ref="S87" r:id="rId60" display="https://www.facebook.com/photo?fbid=1769179281997730&amp;set=a.579268780988792"/>
    <hyperlink ref="S88" r:id="rId61" display="https://www.facebook.com/APthaitownhome/posts/pfbid0S98juP7S6YzB1b4FLDpdaidqG9tTQNyWWeWngSxyXUPz5LuiudkTcKQGYVKEEbnLl"/>
    <hyperlink ref="S89" r:id="rId62" display="https://www.facebook.com/APthaitownhome/posts/pfbid0aQ8UtHNwvmbxFkwh1QktQAtu2uTkxY2yPgKypuFiJ7BqpDYjAUp8sS2qxfJpvpZql"/>
    <hyperlink ref="S99" r:id="rId63" display="https://x.com/AP_Inspire/status/2097520377786487269"/>
    <hyperlink ref="S100" r:id="rId64" display="https://x.com/AP_Inspire/status/2098012629428215963"/>
    <hyperlink ref="S101" r:id="rId65" display="https://www.facebook.com/photo/?fbid=1750186410474322&amp;set=a.637946355031672"/>
    <hyperlink ref="S102" r:id="rId66" display="https://www.facebook.com/APthai/posts/pfbid02kDLCbNA9ABbYTu9anaWJG2CHMzHJQ8ieueqeTRYq9Dmu1ixqgZXncwpbXmMK3XWWl?locale=th_TH"/>
    <hyperlink ref="S103" r:id="rId67" display="https://www.facebook.com/APthaitownhome/posts/pfbid0d5khP5snrQBij6jBN4CvibC7JDc5rcW6hqyCZ8G9VcVQTNscsC6ZXpCQWyPjP2ENl?locale=th_TH"/>
    <hyperlink ref="S104" r:id="rId68" display="https://www.facebook.com/APthaitownhome/posts/pfbid0zHExzigYSGXWKCfp2N1FREbdaA4URYqRb9YRXWTPCEYuBNC1hkoPw4Uvg3LnFE91l?locale=th_TH"/>
    <hyperlink ref="S105" r:id="rId69" display="https://www.facebook.com/photo?fbid=1770379491877709&amp;set=a.579268780988792"/>
    <hyperlink ref="S106" r:id="rId70" display="https://www.facebook.com/APthaitownhome/posts/pfbid02ksmrmwTunSnmdGrSkEk1a4geEUb7mu4vXYF1JkurjaQjbj4yLdtwPhuBqMW3tekYl?locale=th_TH"/>
    <hyperlink ref="S107" r:id="rId71" display="https://www.facebook.com/reel/1795179221663117?locale=th_TH"/>
    <hyperlink ref="S108" r:id="rId72" display="https://www.facebook.com/reel/1356559666692989?locale=th_TH"/>
    <hyperlink ref="S109" r:id="rId73" display="https://www.facebook.com/reel/3206000509591855"/>
    <hyperlink ref="S110" r:id="rId74" display="https://www.facebook.com/APthai/posts/pfbid02X8735MoLVPCnvybuUFwSdSmpNWC36wJfR15pxwNS5eKSgEBzKvZ1vGXwq3eB41BVl?locale=th_TH"/>
    <hyperlink ref="S111" r:id="rId75" display="https://www.facebook.com/APthai/posts/pfbid0sNLGTfcHkf5VkGnbL3kLjwyADjnQCcY9hb2PHKWVefK14yAb8NdHkYDmxRaPQPXRl?locale=th_TH"/>
    <hyperlink ref="S112" r:id="rId76" display="https://www.facebook.com/APthai/posts/pfbid027UXxzpShFprJJCoo3S8GWzMx54UMPLfTZFXmoejL8t8THZZePq4Pm7KSiMcYaCfLl?locale=th_TH"/>
    <hyperlink ref="S113" r:id="rId77" display="https://x.com/AP_Inspire/status/2098245155434402159"/>
    <hyperlink ref="S114" r:id="rId78" display="https://x.com/AP_Inspire/status/2098969920935792832"/>
    <hyperlink ref="S115" r:id="rId79" display="https://x.com/AP_Inspire/status/2099407901140136264"/>
    <hyperlink ref="S116" r:id="rId80" display="https://www.facebook.com/APthaitownhome/posts/pfbid0ZbAt25QG5rco8trEFB5ow97wRC5vXwbJvpoUp4q7CgctK9iV6fpYTAs9V9MpVa5il?locale=th_TH"/>
    <hyperlink ref="S117" r:id="rId81" display="https://www.facebook.com/APthaitownhome/posts/pfbid0Z6LgPonrqSjRkVqGDHUP2LAv6fVSV6Ki1g6kpm6wWaY8SepuuSSfqjc3oE9jtSQxl"/>
    <hyperlink ref="S118" r:id="rId82" display="https://www.facebook.com/APthaitownhome/posts/pfbid024JBtFx6E1T5oGLoz9LA6DCbqs4orsgPib2BgawinVrgJ931hfe3sdN91uFWAM7Cal?locale=th_TH"/>
    <hyperlink ref="S119" r:id="rId83" display="https://www.facebook.com/APthaitownhome/posts/pfbid0EeQdd31jm7q3HULhK2BbP5qgtp8qxLKMg1ELphzhHEqgTTGwzSUks9uQN5rRytWGl?locale=th_TH"/>
    <hyperlink ref="S120" r:id="rId84" display="https://www.facebook.com/APthaitownhome/posts/pfbid0BfCcVc1BNBUMAv6EwkhA33P9Hzt3TByR9i5kEiTGNvfwDy89J3Jsnf8GfouCbhEbl?locale=th_TH"/>
    <hyperlink ref="S121" r:id="rId85" display="https://www.facebook.com/APthai/posts/pfbid024SAJdypscyG9zFNfRtVk9eVGoJP36BF1xVxxWLKZsRp5dKvLzB75pKCk2fHtRh28l"/>
    <hyperlink ref="S122" r:id="rId86" display="https://www.facebook.com/photo?fbid=1773864511529207&amp;set=a.579268780988792"/>
    <hyperlink ref="S126" r:id="rId87" display="https://www.facebook.com/share/p/14quGAJ2gX4/?mibextid=wwXIfr"/>
    <hyperlink ref="S127" r:id="rId88" display="https://www.facebook.com/share/p/19MbkkHMYK/?mibextid=wwXIfr"/>
    <hyperlink ref="S128" r:id="rId89" display="https://x.com/AP_Inspire/status/2100057087648903471"/>
    <hyperlink ref="S129" r:id="rId90" display="https://www.facebook.com/share/p/1Lg5meJuYS/?mibextid=wwXIfr"/>
    <hyperlink ref="S130" r:id="rId91" display="https://www.facebook.com/share/p/1GbG2rVyss/?mibextid=wwXIfr"/>
    <hyperlink ref="S131" r:id="rId92" display="https://www.facebook.com/share/p/1ESLdkZ3VN/?mibextid=wwXIfr"/>
    <hyperlink ref="S132" r:id="rId93" display="https://www.facebook.com/APthai/posts/pfbid0YaK13Bzk69mYpXA1KMy3TFziVrn5iVd11VfwSEAHY3jbNBYE7yCBohJWMvREtghnl?locale=th_TH"/>
    <hyperlink ref="S133" r:id="rId94" display="https://www.facebook.com/share/p/19H8RPfgsR/?mibextid=wwXIfr"/>
    <hyperlink ref="S134" r:id="rId95" display="https://www.facebook.com/share/p/19H8RPfgsR/?mibextid=wwXIfr"/>
    <hyperlink ref="S135" r:id="rId96" display="https://www.facebook.com/share/p/19H8RPfgsR/?mibextid=wwXIfr"/>
    <hyperlink ref="S136" r:id="rId97" display="https://www.facebook.com/share/p/19H8RPfgsR/?mibextid=wwXIfr"/>
    <hyperlink ref="S137" r:id="rId98" display="https://www.facebook.com/share/p/19H8RPfgsR/?mibextid=wwXIfr"/>
    <hyperlink ref="S138" r:id="rId99" display="https://www.facebook.com/share/p/1C3cYcZEL3/?mibextid=wwXIfr"/>
    <hyperlink ref="S139" r:id="rId100" display="https://www.facebook.com/APthai/posts/pfbid022Fhb8ssxoWYtesVLSRtUpCTM3Rh6HPD3DkJysYg1Kve9FtKiHiUXMHZEcAL98JmPl"/>
    <hyperlink ref="S140" r:id="rId101" display="https://x.com/AP_Inspire/status/2101144255414862124"/>
    <hyperlink ref="S141" r:id="rId102" display="https://www.facebook.com/APthai/posts/pfbid02LdA5pkYvrXrwRcCNXa2n6owjaGuGewUUpzk4YirrcrEUaBfqRAwkJuBmiRq5cP9Pl"/>
    <hyperlink ref="S142" r:id="rId103" display="https://www.facebook.com/APthai/posts/pfbid02qfiuauLYxKgUaxvZQSm3WTJDLJkCWR3Sup69myhekqgMViJxjzS5JuruyCrKXWMel"/>
    <hyperlink ref="S143" r:id="rId104" display="https://www.facebook.com/APthai/posts/pfbid0kdG1uP4GDL83ctPoDFQ7drkZhtkBRqHrVjtMmiwGobuZFtwLWTCzUiq3SwhKd6pKl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10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2026-09-29T18:26:08Z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